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" sheetId="1" state="visible" r:id="rId3"/>
    <sheet name="summ" sheetId="2" state="hidden" r:id="rId4"/>
    <sheet name="Observations " sheetId="3" state="visible" r:id="rId5"/>
    <sheet name="EditableNon Editable 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<sst xmlns="http://schemas.openxmlformats.org/spreadsheetml/2006/main" count="1004" uniqueCount="292">
  <si>
    <t xml:space="preserve">#</t>
  </si>
  <si>
    <t xml:space="preserve">Category</t>
  </si>
  <si>
    <t xml:space="preserve">Count</t>
  </si>
  <si>
    <t xml:space="preserve">Bug</t>
  </si>
  <si>
    <t xml:space="preserve">Enhancement</t>
  </si>
  <si>
    <t xml:space="preserve">Enhancement (Productization)</t>
  </si>
  <si>
    <t xml:space="preserve">Clarification</t>
  </si>
  <si>
    <t xml:space="preserve">No Change Required</t>
  </si>
  <si>
    <t xml:space="preserve">Other / Misc (Purging, Archiving, Landscape, etc.)</t>
  </si>
  <si>
    <t xml:space="preserve">GRAND TOTAL</t>
  </si>
  <si>
    <t xml:space="preserve">Priority</t>
  </si>
  <si>
    <t xml:space="preserve">Enh. (Productization)</t>
  </si>
  <si>
    <t xml:space="preserve">No Change Req.</t>
  </si>
  <si>
    <t xml:space="preserve">Other/Misc</t>
  </si>
  <si>
    <t xml:space="preserve">TOTAL</t>
  </si>
  <si>
    <t xml:space="preserve">High</t>
  </si>
  <si>
    <t xml:space="preserve">Medium</t>
  </si>
  <si>
    <t xml:space="preserve">Low</t>
  </si>
  <si>
    <t xml:space="preserve">NA / Blank</t>
  </si>
  <si>
    <t xml:space="preserve">Status</t>
  </si>
  <si>
    <t xml:space="preserve">To Be Taken Up</t>
  </si>
  <si>
    <t xml:space="preserve">WIP</t>
  </si>
  <si>
    <t xml:space="preserve">Closed</t>
  </si>
  <si>
    <t xml:space="preserve">Need to Study/Analyze</t>
  </si>
  <si>
    <t xml:space="preserve">To Be Done</t>
  </si>
  <si>
    <t xml:space="preserve">To Be Tested</t>
  </si>
  <si>
    <t xml:space="preserve">Repeated</t>
  </si>
  <si>
    <t xml:space="preserve">Not Yet Finalized</t>
  </si>
  <si>
    <t xml:space="preserve">Criteria →</t>
  </si>
  <si>
    <t xml:space="preserve">Enhancements</t>
  </si>
  <si>
    <t xml:space="preserve">Enahancement (Productization)</t>
  </si>
  <si>
    <t xml:space="preserve">HIGH</t>
  </si>
  <si>
    <t xml:space="preserve">LOW</t>
  </si>
  <si>
    <t xml:space="preserve">S.No</t>
  </si>
  <si>
    <t xml:space="preserve">Menu Item</t>
  </si>
  <si>
    <t xml:space="preserve">Sub Menu Item</t>
  </si>
  <si>
    <t xml:space="preserve">BUG</t>
  </si>
  <si>
    <t xml:space="preserve">ENHANCEMENT</t>
  </si>
  <si>
    <t xml:space="preserve">CLARIFICATION</t>
  </si>
  <si>
    <t xml:space="preserve">OTHERS</t>
  </si>
  <si>
    <t xml:space="preserve">MEDIUM</t>
  </si>
  <si>
    <t xml:space="preserve">DB</t>
  </si>
  <si>
    <t xml:space="preserve">Dashboard</t>
  </si>
  <si>
    <t xml:space="preserve">SR</t>
  </si>
  <si>
    <t xml:space="preserve">PTW</t>
  </si>
  <si>
    <t xml:space="preserve">UES</t>
  </si>
  <si>
    <t xml:space="preserve">Meter</t>
  </si>
  <si>
    <t xml:space="preserve">Maintenance Shop</t>
  </si>
  <si>
    <t xml:space="preserve">Meter Rollovers</t>
  </si>
  <si>
    <t xml:space="preserve">Meter Replacements</t>
  </si>
  <si>
    <t xml:space="preserve">Meter replacement</t>
  </si>
  <si>
    <t xml:space="preserve">Meter rollover</t>
  </si>
  <si>
    <t xml:space="preserve">WF</t>
  </si>
  <si>
    <t xml:space="preserve">Scheduled jobs</t>
  </si>
  <si>
    <t xml:space="preserve">Work orders</t>
  </si>
  <si>
    <t xml:space="preserve">Admin</t>
  </si>
  <si>
    <t xml:space="preserve">Config Policies</t>
  </si>
  <si>
    <t xml:space="preserve">Password</t>
  </si>
  <si>
    <t xml:space="preserve">Notification</t>
  </si>
  <si>
    <t xml:space="preserve">APM</t>
  </si>
  <si>
    <t xml:space="preserve">PM generation</t>
  </si>
  <si>
    <t xml:space="preserve">Config Assets</t>
  </si>
  <si>
    <t xml:space="preserve">Asset types</t>
  </si>
  <si>
    <t xml:space="preserve">Material Types</t>
  </si>
  <si>
    <t xml:space="preserve">meter</t>
  </si>
  <si>
    <t xml:space="preserve">Meter Types</t>
  </si>
  <si>
    <t xml:space="preserve">General</t>
  </si>
  <si>
    <t xml:space="preserve">Schedule types</t>
  </si>
  <si>
    <t xml:space="preserve">Sections</t>
  </si>
  <si>
    <t xml:space="preserve">MMP</t>
  </si>
  <si>
    <t xml:space="preserve">Configuration Maintenance</t>
  </si>
  <si>
    <t xml:space="preserve">Config Setup</t>
  </si>
  <si>
    <t xml:space="preserve">Master Workflows</t>
  </si>
  <si>
    <t xml:space="preserve">Car Asset Layout</t>
  </si>
  <si>
    <t xml:space="preserve">Car types</t>
  </si>
  <si>
    <t xml:space="preserve">Trainset types</t>
  </si>
  <si>
    <t xml:space="preserve">Asset/make/Model vs Sch types</t>
  </si>
  <si>
    <t xml:space="preserve">Association of Schedules not only based on asset types, but also based on make and model</t>
  </si>
  <si>
    <t xml:space="preserve">Job plan Checklist</t>
  </si>
  <si>
    <t xml:space="preserve">based on AT make and model - if situation demands</t>
  </si>
  <si>
    <t xml:space="preserve">Engineering sections (Sub units/Depts)</t>
  </si>
  <si>
    <t xml:space="preserve">Landscape (Identify impacted landscapes)</t>
  </si>
  <si>
    <t xml:space="preserve">Fault codes</t>
  </si>
  <si>
    <t xml:space="preserve">Functional Units</t>
  </si>
  <si>
    <t xml:space="preserve">PTW screen</t>
  </si>
  <si>
    <t xml:space="preserve">Job Plan</t>
  </si>
  <si>
    <t xml:space="preserve">Checksheet</t>
  </si>
  <si>
    <t xml:space="preserve">Master Maintenance plan</t>
  </si>
  <si>
    <t xml:space="preserve">WORKORDER</t>
  </si>
  <si>
    <t xml:space="preserve">Asset PM Master</t>
  </si>
  <si>
    <t xml:space="preserve">Job plans</t>
  </si>
  <si>
    <t xml:space="preserve">Labels, Screen/Form headings</t>
  </si>
  <si>
    <t xml:space="preserve">Checklist</t>
  </si>
  <si>
    <t xml:space="preserve">Master Preventive Maintenance Plan</t>
  </si>
  <si>
    <t xml:space="preserve">PTW dashboard</t>
  </si>
  <si>
    <t xml:space="preserve">Trainset Meter measurements</t>
  </si>
  <si>
    <t xml:space="preserve">Config Users</t>
  </si>
  <si>
    <t xml:space="preserve">Users</t>
  </si>
  <si>
    <t xml:space="preserve">Locations</t>
  </si>
  <si>
    <t xml:space="preserve">Maintenance &amp; Shop</t>
  </si>
  <si>
    <t xml:space="preserve">Fitness Certificate</t>
  </si>
  <si>
    <t xml:space="preserve">Recorded Date</t>
  </si>
  <si>
    <t xml:space="preserve">Source of person/review/test</t>
  </si>
  <si>
    <t xml:space="preserve">Category Bug/Productization/New/Edit/Bug</t>
  </si>
  <si>
    <t xml:space="preserve">Complexity</t>
  </si>
  <si>
    <t xml:space="preserve">Issue Noted</t>
  </si>
  <si>
    <t xml:space="preserve">Developer Remarks</t>
  </si>
  <si>
    <t xml:space="preserve">Remarks</t>
  </si>
  <si>
    <t xml:space="preserve">Test</t>
  </si>
  <si>
    <t xml:space="preserve">VL</t>
  </si>
  <si>
    <t xml:space="preserve">To be taken up</t>
  </si>
  <si>
    <t xml:space="preserve">1) System down color is in green color 2) Color changes required</t>
  </si>
  <si>
    <t xml:space="preserve">UI Changes Need to change for red/suitable -(Is system allows to change color legends?)</t>
  </si>
  <si>
    <t xml:space="preserve">Permit by - Purpose - Pie chart</t>
  </si>
  <si>
    <t xml:space="preserve">Lable to be corrected. Values are not coming</t>
  </si>
  <si>
    <t xml:space="preserve">Can be modified with lable names to be corrected to showing results and to populated correctly</t>
  </si>
  <si>
    <t xml:space="preserve">Partciapation</t>
  </si>
  <si>
    <t xml:space="preserve">To be corrected (spell correction)</t>
  </si>
  <si>
    <t xml:space="preserve">Independent spelling correction required - Independent</t>
  </si>
  <si>
    <t xml:space="preserve">Make Lov</t>
  </si>
  <si>
    <t xml:space="preserve">Currently showing all makes in the dropdown. Only related makes for the asset should be poplulated. Nice to have - Required more more discussion</t>
  </si>
  <si>
    <t xml:space="preserve">Filter missed, Showing all makes</t>
  </si>
  <si>
    <t xml:space="preserve">Delete from the menu</t>
  </si>
  <si>
    <t xml:space="preserve">Showing 404 Error</t>
  </si>
  <si>
    <t xml:space="preserve">404 error</t>
  </si>
  <si>
    <t xml:space="preserve">Not required</t>
  </si>
  <si>
    <t xml:space="preserve">M</t>
  </si>
  <si>
    <t xml:space="preserve">Custodian Units</t>
  </si>
  <si>
    <t xml:space="preserve">Required clarifications - To be debated</t>
  </si>
  <si>
    <t xml:space="preserve">Custodian unit lable change to Dept</t>
  </si>
  <si>
    <t xml:space="preserve">Need to study</t>
  </si>
  <si>
    <t xml:space="preserve">Material types</t>
  </si>
  <si>
    <t xml:space="preserve">Required clarifications - To be debated - UOM list to be collected with full forms</t>
  </si>
  <si>
    <t xml:space="preserve">Clarification given</t>
  </si>
  <si>
    <t xml:space="preserve">Meter types</t>
  </si>
  <si>
    <t xml:space="preserve">Required clarifications - To be debated - Need to be corrected (Label names) Part names…</t>
  </si>
  <si>
    <t xml:space="preserve">Clarification required</t>
  </si>
  <si>
    <t xml:space="preserve">1) Unable to Add New 2) Edit missed</t>
  </si>
  <si>
    <t xml:space="preserve">Need review on this</t>
  </si>
  <si>
    <t xml:space="preserve">Make autoreduction can be done while searching</t>
  </si>
  <si>
    <t xml:space="preserve">Need to verify auto reduction for all screens, Make autoreduction can be done while searching</t>
  </si>
  <si>
    <t xml:space="preserve">Notation required (Add, New etc.,)</t>
  </si>
  <si>
    <t xml:space="preserve">Need to verify on the screen</t>
  </si>
  <si>
    <t xml:space="preserve">Need review</t>
  </si>
  <si>
    <t xml:space="preserve">CRUD</t>
  </si>
  <si>
    <t xml:space="preserve">Usage frequency (No of hours)</t>
  </si>
  <si>
    <t xml:space="preserve">New Feature Required - Need discussion</t>
  </si>
  <si>
    <t xml:space="preserve">VH</t>
  </si>
  <si>
    <t xml:space="preserve">Master workflows ???</t>
  </si>
  <si>
    <t xml:space="preserve">Nice to have- To be debated</t>
  </si>
  <si>
    <t xml:space="preserve">NA</t>
  </si>
  <si>
    <t xml:space="preserve">Unable tp add Specifications /Attachments/Notes</t>
  </si>
  <si>
    <t xml:space="preserve">Need to discuss and fulfill the funactionality</t>
  </si>
  <si>
    <t xml:space="preserve">Models</t>
  </si>
  <si>
    <t xml:space="preserve">To be done as a another asset type</t>
  </si>
  <si>
    <t xml:space="preserve">Car Assets</t>
  </si>
  <si>
    <t xml:space="preserve">"No Add" feature in Front End</t>
  </si>
  <si>
    <t xml:space="preserve">Train Sets</t>
  </si>
  <si>
    <t xml:space="preserve">No Add feature in Front End</t>
  </si>
  <si>
    <t xml:space="preserve">To be analyzed the impact and feasibility</t>
  </si>
  <si>
    <t xml:space="preserve">If trainset defers what can do</t>
  </si>
  <si>
    <t xml:space="preserve">Make, model commbination required</t>
  </si>
  <si>
    <t xml:space="preserve">To be studied and add ational things prior to implementation</t>
  </si>
  <si>
    <t xml:space="preserve">Verify/Explore - How to map/associate related activities of each eng section of a job plan activities</t>
  </si>
  <si>
    <t xml:space="preserve">To be studied further</t>
  </si>
  <si>
    <t xml:space="preserve">Landscape defeinition based on make and model of trainset</t>
  </si>
  <si>
    <t xml:space="preserve">To be studied</t>
  </si>
  <si>
    <t xml:space="preserve">Unable to add System - sub system</t>
  </si>
  <si>
    <t xml:space="preserve">To be analyzed</t>
  </si>
  <si>
    <t xml:space="preserve">Hirechay view should be changed.(LTMRHLHO &amp; LTMRHLCO)why divided into two parts</t>
  </si>
  <si>
    <t xml:space="preserve">Need more discussion</t>
  </si>
  <si>
    <t xml:space="preserve">Fire premit spelling should be changed to fire permit</t>
  </si>
  <si>
    <t xml:space="preserve">Need to review</t>
  </si>
  <si>
    <t xml:space="preserve">In landing screen sorting is not working.</t>
  </si>
  <si>
    <t xml:space="preserve">Need to review and fix it</t>
  </si>
  <si>
    <t xml:space="preserve">In actions(edit) --what is add time --Change the name add time to add item or just add</t>
  </si>
  <si>
    <t xml:space="preserve">Change button caption from "Add time" to "Add"</t>
  </si>
  <si>
    <t xml:space="preserve">Checklist -- In landing screen showing name as checklist but in submenu showing as checksheet</t>
  </si>
  <si>
    <t xml:space="preserve">Need clarifications</t>
  </si>
  <si>
    <t xml:space="preserve">Sub department (permissions)-who and what should be updated</t>
  </si>
  <si>
    <t xml:space="preserve">Safety plans are associated with which screen and how</t>
  </si>
  <si>
    <t xml:space="preserve">Clarification and understanding required</t>
  </si>
  <si>
    <t xml:space="preserve">Before approval-execution, material, checksheets, meters tabs are not required after approval only this tabs can be done.</t>
  </si>
  <si>
    <t xml:space="preserve">Editing of those tabs are only during the work order execution only</t>
  </si>
  <si>
    <t xml:space="preserve">Cycle modification required -Dynamic (With Sliding of next schedule )</t>
  </si>
  <si>
    <t xml:space="preserve">With Sliding of next schedule ) - Planning &amp; Schedule</t>
  </si>
  <si>
    <t xml:space="preserve">Add Working hours provision required</t>
  </si>
  <si>
    <t xml:space="preserve">Delete option required for as required for correction</t>
  </si>
  <si>
    <t xml:space="preserve">Logical deletion</t>
  </si>
  <si>
    <t xml:space="preserve">Satyanand</t>
  </si>
  <si>
    <t xml:space="preserve">Delettion of assets from Asset register</t>
  </si>
  <si>
    <t xml:space="preserve">Client Requirements - need to be discussed</t>
  </si>
  <si>
    <t xml:space="preserve">RST hierarchy</t>
  </si>
  <si>
    <t xml:space="preserve">Other depts hierarchy</t>
  </si>
  <si>
    <t xml:space="preserve">To be taken up after the collection of probable vendor names</t>
  </si>
  <si>
    <t xml:space="preserve">Vendor - Unable to add vendor name , if we reduce the name to Grund it is accepting . kindly resolve the Asap</t>
  </si>
  <si>
    <t xml:space="preserve">To be discussed and taken up</t>
  </si>
  <si>
    <t xml:space="preserve">dispose/Condemn</t>
  </si>
  <si>
    <t xml:space="preserve">RAP module</t>
  </si>
  <si>
    <t xml:space="preserve">Sch types - Checklist</t>
  </si>
  <si>
    <t xml:space="preserve">New requirement</t>
  </si>
  <si>
    <t xml:space="preserve">Can make user definable change(Multi lingual)</t>
  </si>
  <si>
    <t xml:space="preserve">Add new check list</t>
  </si>
  <si>
    <t xml:space="preserve">Need to show shcedule maintenance cycle plan for assets</t>
  </si>
  <si>
    <t xml:space="preserve">Mandatory fields to be defined</t>
  </si>
  <si>
    <t xml:space="preserve">Asset type list dropdown is right or wrong need clarification</t>
  </si>
  <si>
    <t xml:space="preserve">For all asset types how to generate pattern</t>
  </si>
  <si>
    <t xml:space="preserve">Only for one asset can be generated</t>
  </si>
  <si>
    <t xml:space="preserve">Category list showing all categories (should show depending on asset type)</t>
  </si>
  <si>
    <t xml:space="preserve">MMS</t>
  </si>
  <si>
    <t xml:space="preserve">Does asset type has schedule cycle or not</t>
  </si>
  <si>
    <t xml:space="preserve">Assets and routes has schedule cycles</t>
  </si>
  <si>
    <t xml:space="preserve">Clarifcation for asset type &amp; category LOV -required flags should be shown</t>
  </si>
  <si>
    <t xml:space="preserve">Asset type,category,scheduletype,safety plan, job plan</t>
  </si>
  <si>
    <t xml:space="preserve">what is reliability enhancing program</t>
  </si>
  <si>
    <t xml:space="preserve">Clarification eceived</t>
  </si>
  <si>
    <t xml:space="preserve">Landing screen -- schedule list is showing only 37 Types .Why?</t>
  </si>
  <si>
    <t xml:space="preserve">Need to verify</t>
  </si>
  <si>
    <t xml:space="preserve">Schedules-By what basis this list is defined</t>
  </si>
  <si>
    <t xml:space="preserve">What is MN-- why it is dfined in shortcut in LOV also make the list values in Shortcut</t>
  </si>
  <si>
    <t xml:space="preserve">`</t>
  </si>
  <si>
    <t xml:space="preserve">Permit by purpose to" type of permit "</t>
  </si>
  <si>
    <t xml:space="preserve">No Change required</t>
  </si>
  <si>
    <t xml:space="preserve">There are total 77 types but in screens showing only 37 Types .Why?</t>
  </si>
  <si>
    <t xml:space="preserve">Relative schedule types are showing</t>
  </si>
  <si>
    <t xml:space="preserve">In service it is showing House keeping , whereas house keeping itself has been defined as one of the type</t>
  </si>
  <si>
    <t xml:space="preserve">Primary role</t>
  </si>
  <si>
    <t xml:space="preserve">Secondary role</t>
  </si>
  <si>
    <t xml:space="preserve">Reading Type</t>
  </si>
  <si>
    <t xml:space="preserve">Reading Type - DELTA, Actual</t>
  </si>
  <si>
    <t xml:space="preserve">Required clarifications</t>
  </si>
  <si>
    <t xml:space="preserve">Asset Functional category</t>
  </si>
  <si>
    <t xml:space="preserve">??? - Required clarifications (parent, parent code, site…etc)</t>
  </si>
  <si>
    <t xml:space="preserve">Groups</t>
  </si>
  <si>
    <t xml:space="preserve">??? - Required clarifications (Assembly, Linear,Group,..etc )</t>
  </si>
  <si>
    <t xml:space="preserve">Is Re-Open feature availavble</t>
  </si>
  <si>
    <t xml:space="preserve">Feaure is not available, and this feature is not required.</t>
  </si>
  <si>
    <t xml:space="preserve">Can SR route with another Dept</t>
  </si>
  <si>
    <t xml:space="preserve">User can route SR from one dept. to another dept.</t>
  </si>
  <si>
    <t xml:space="preserve">What is Assembly and Component</t>
  </si>
  <si>
    <t xml:space="preserve">Clarification received</t>
  </si>
  <si>
    <t xml:space="preserve">operational hours --make,model</t>
  </si>
  <si>
    <t xml:space="preserve">Identification of product setup data</t>
  </si>
  <si>
    <t xml:space="preserve">Med</t>
  </si>
  <si>
    <t xml:space="preserve">List out tables and lookup values which are used for the funcationality implementation or business logic implementation</t>
  </si>
  <si>
    <t xml:space="preserve">Purging</t>
  </si>
  <si>
    <t xml:space="preserve">identify tables to be purged periodically</t>
  </si>
  <si>
    <t xml:space="preserve">Archeiving</t>
  </si>
  <si>
    <t xml:space="preserve">identify tables to be archieved periodically</t>
  </si>
  <si>
    <t xml:space="preserve">Landscape - New asset position creation</t>
  </si>
  <si>
    <t xml:space="preserve">H</t>
  </si>
  <si>
    <t xml:space="preserve">TO be Tested</t>
  </si>
  <si>
    <t xml:space="preserve">Landscape - New asset type addition</t>
  </si>
  <si>
    <t xml:space="preserve">Data loading through excel imports</t>
  </si>
  <si>
    <t xml:space="preserve">Requirements not yet Finalised</t>
  </si>
  <si>
    <t xml:space="preserve">Pm on fixed dates</t>
  </si>
  <si>
    <t xml:space="preserve">verify created by and updated by</t>
  </si>
  <si>
    <t xml:space="preserve">??</t>
  </si>
  <si>
    <t xml:space="preserve">Menu</t>
  </si>
  <si>
    <t xml:space="preserve">Submenu </t>
  </si>
  <si>
    <t xml:space="preserve">Editable </t>
  </si>
  <si>
    <t xml:space="preserve">Non Editable </t>
  </si>
  <si>
    <t xml:space="preserve">Remarks </t>
  </si>
  <si>
    <t xml:space="preserve">Editable Fields</t>
  </si>
  <si>
    <t xml:space="preserve">Configuration Setup</t>
  </si>
  <si>
    <t xml:space="preserve">Organisations</t>
  </si>
  <si>
    <t xml:space="preserve">No</t>
  </si>
  <si>
    <t xml:space="preserve">Yes</t>
  </si>
  <si>
    <t xml:space="preserve">There is no edit option to update the details </t>
  </si>
  <si>
    <t xml:space="preserve">Functional  Units</t>
  </si>
  <si>
    <t xml:space="preserve">Designation </t>
  </si>
  <si>
    <t xml:space="preserve">Workflow Master </t>
  </si>
  <si>
    <t xml:space="preserve">Unable to show details while clicking search filter it is showing error message  --- Http failure response for http://192.168.14.61/services/workflowService/api/workflow/get-workflow-template-list: 500 Internal Server Error</t>
  </si>
  <si>
    <t xml:space="preserve">Configuration Asset</t>
  </si>
  <si>
    <t xml:space="preserve">Car Types</t>
  </si>
  <si>
    <t xml:space="preserve">Trainset Types</t>
  </si>
  <si>
    <t xml:space="preserve">Configuration Users</t>
  </si>
  <si>
    <t xml:space="preserve">Staff</t>
  </si>
  <si>
    <t xml:space="preserve">In staff landing screen there are two options to edit and  it is navigating to same screens  -- 1. edit option , 2. Hyperlink on staff number </t>
  </si>
  <si>
    <t xml:space="preserve">Schedule Types</t>
  </si>
  <si>
    <t xml:space="preserve">Checklists</t>
  </si>
  <si>
    <t xml:space="preserve">In submenu list name is showing as checklists, when opened it is showing as check sheets</t>
  </si>
  <si>
    <t xml:space="preserve">Asset Register</t>
  </si>
  <si>
    <t xml:space="preserve">Assets</t>
  </si>
  <si>
    <t xml:space="preserve">In ASSETS landing screen there are two options to edit and  it is navigating to same screens  -- 1. edit option , 2. Hyperlink on staff number </t>
  </si>
  <si>
    <t xml:space="preserve">Asset routes</t>
  </si>
  <si>
    <t xml:space="preserve">What is use of select ?? Edit option can be without selecting also then what is the use of select option.</t>
  </si>
  <si>
    <t xml:space="preserve">Meter Measurements</t>
  </si>
  <si>
    <t xml:space="preserve">Assets under monitoring</t>
  </si>
  <si>
    <t xml:space="preserve">Service Requests</t>
  </si>
  <si>
    <t xml:space="preserve">Service Request</t>
  </si>
  <si>
    <t xml:space="preserve">In SR landing screen there are two options to edit and  it is navigating to same screens  -- 1. edit option , 2. Hyperlink on staff number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</si>
</sst>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\-mmm\-yy"/>
  </numFmts>
  <fonts count="2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sz val="11"/>
      <color theme="1"/>
      <name val="&quot;Aptos Narrow&quot;"/>
      <family val="0"/>
      <charset val="1"/>
    </font>
    <font>
      <b val="true"/>
      <u val="single"/>
      <sz val="11"/>
      <color theme="1"/>
      <name val="Arial"/>
      <family val="0"/>
      <charset val="1"/>
    </font>
    <font>
      <sz val="11"/>
      <color rgb="FF40404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70C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u val="single"/>
      <sz val="11"/>
      <color rgb="FF0000FF"/>
      <name val="Arial"/>
      <family val="0"/>
      <charset val="1"/>
    </font>
    <font>
      <b val="true"/>
      <sz val="11"/>
      <color rgb="FFFFFFFF"/>
      <name val="&quot;Aptos Narrow&quot;"/>
      <family val="0"/>
      <charset val="1"/>
    </font>
    <font>
      <sz val="11"/>
      <color rgb="FFC00000"/>
      <name val="&quot;Aptos Narrow&quot;"/>
      <family val="0"/>
      <charset val="1"/>
    </font>
    <font>
      <sz val="11"/>
      <color rgb="FFFF0000"/>
      <name val="&quot;Aptos Narrow&quot;"/>
      <family val="0"/>
      <charset val="1"/>
    </font>
    <font>
      <b val="true"/>
      <sz val="11"/>
      <color rgb="FFFF0000"/>
      <name val="&quot;Aptos Narrow&quot;"/>
      <family val="0"/>
      <charset val="1"/>
    </font>
    <font>
      <b val="true"/>
      <sz val="11"/>
      <color theme="1"/>
      <name val="Aptos Narrow"/>
      <family val="0"/>
      <charset val="1"/>
    </font>
    <font>
      <sz val="12"/>
      <color rgb="FFFFFFFF"/>
      <name val="Quattrocento Sans"/>
      <family val="0"/>
      <charset val="1"/>
    </font>
    <font>
      <sz val="11"/>
      <color rgb="FFFF0000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FFF2CC"/>
        <bgColor rgb="FFFAE2D5"/>
      </patternFill>
    </fill>
    <fill>
      <patternFill patternType="solid">
        <fgColor rgb="FFD6E4F7"/>
        <bgColor rgb="FFC1E4F5"/>
      </patternFill>
    </fill>
    <fill>
      <patternFill patternType="solid">
        <fgColor rgb="FF4D94D8"/>
        <bgColor rgb="FF339966"/>
      </patternFill>
    </fill>
    <fill>
      <patternFill patternType="solid">
        <fgColor rgb="FFC1E4F5"/>
        <bgColor rgb="FFD6E4F7"/>
      </patternFill>
    </fill>
    <fill>
      <patternFill patternType="solid">
        <fgColor rgb="FFFAE2D5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C1E4F5"/>
      <rgbColor rgb="FF660066"/>
      <rgbColor rgb="FFFF8080"/>
      <rgbColor rgb="FF0070C0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E2D5"/>
      <rgbColor rgb="FF4D94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5.25"/>
    <col collapsed="false" customWidth="true" hidden="false" outlineLevel="0" max="2" min="2" style="0" width="44.38"/>
    <col collapsed="false" customWidth="true" hidden="false" outlineLevel="0" max="3" min="3" style="0" width="7.5"/>
    <col collapsed="false" customWidth="true" hidden="false" outlineLevel="0" max="4" min="4" style="0" width="13"/>
    <col collapsed="false" customWidth="true" hidden="false" outlineLevel="0" max="5" min="5" style="0" width="19.38"/>
    <col collapsed="false" customWidth="true" hidden="false" outlineLevel="0" max="6" min="6" style="0" width="11.63"/>
    <col collapsed="false" customWidth="true" hidden="false" outlineLevel="0" max="7" min="7" style="0" width="10.63"/>
    <col collapsed="false" customWidth="true" hidden="false" outlineLevel="0" max="8" min="8" style="0" width="10.5"/>
    <col collapsed="false" customWidth="true" hidden="false" outlineLevel="0" max="9" min="9" style="0" width="7"/>
    <col collapsed="false" customWidth="true" hidden="false" outlineLevel="0" max="10" min="10" style="0" width="8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false" outlineLevel="0" collapsed="false">
      <c r="A2" s="1" t="n">
        <v>1</v>
      </c>
      <c r="B2" s="4" t="s">
        <v>3</v>
      </c>
      <c r="C2" s="1" t="n">
        <f aca="false">COUNTIF('Observations '!D2:D1000,"Bug")</f>
        <v>16</v>
      </c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" hidden="false" customHeight="false" outlineLevel="0" collapsed="false">
      <c r="A3" s="1" t="n">
        <v>2</v>
      </c>
      <c r="B3" s="4" t="s">
        <v>4</v>
      </c>
      <c r="C3" s="1" t="n">
        <f aca="false">COUNTIF('Observations '!D2:D1000,"Enhancements")</f>
        <v>25</v>
      </c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" hidden="false" customHeight="false" outlineLevel="0" collapsed="false">
      <c r="A4" s="1" t="n">
        <v>3</v>
      </c>
      <c r="B4" s="4" t="s">
        <v>5</v>
      </c>
      <c r="C4" s="1" t="n">
        <f aca="false">COUNTIF('Observations '!D2:D1000,"Enahancement (Productization)")</f>
        <v>16</v>
      </c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" hidden="false" customHeight="false" outlineLevel="0" collapsed="false">
      <c r="A5" s="1" t="n">
        <v>4</v>
      </c>
      <c r="B5" s="4" t="s">
        <v>6</v>
      </c>
      <c r="C5" s="1" t="n">
        <f aca="false">COUNTIF('Observations '!D2:D1000,"Clarification")</f>
        <v>19</v>
      </c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" hidden="false" customHeight="false" outlineLevel="0" collapsed="false">
      <c r="A6" s="1" t="n">
        <v>5</v>
      </c>
      <c r="B6" s="4" t="s">
        <v>7</v>
      </c>
      <c r="C6" s="1" t="n">
        <f aca="false">COUNTIF('Observations '!D2:D1000,"No Change Required")</f>
        <v>4</v>
      </c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false" outlineLevel="0" collapsed="false">
      <c r="A7" s="1" t="n">
        <v>6</v>
      </c>
      <c r="B7" s="4" t="s">
        <v>8</v>
      </c>
      <c r="C7" s="1" t="n">
        <f aca="false">C8-C2-C3-C4-C5-C6</f>
        <v>8</v>
      </c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" hidden="false" customHeight="false" outlineLevel="0" collapsed="false">
      <c r="A8" s="1" t="s">
        <v>9</v>
      </c>
      <c r="B8" s="1"/>
      <c r="C8" s="5" t="n">
        <f aca="false">COUNTA('Observations '!D2:D1000)-COUNTIF('Observations '!D2:D1000,"Category Bug/Productization/New/Edit/Bug")</f>
        <v>88</v>
      </c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" hidden="false" customHeight="false" outlineLevel="0" collapsed="false">
      <c r="A10" s="1" t="s">
        <v>0</v>
      </c>
      <c r="B10" s="1" t="s">
        <v>10</v>
      </c>
      <c r="C10" s="1" t="s">
        <v>3</v>
      </c>
      <c r="D10" s="1" t="s">
        <v>4</v>
      </c>
      <c r="E10" s="1" t="s">
        <v>11</v>
      </c>
      <c r="F10" s="1" t="s">
        <v>6</v>
      </c>
      <c r="G10" s="1" t="s">
        <v>12</v>
      </c>
      <c r="H10" s="1" t="s">
        <v>13</v>
      </c>
      <c r="I10" s="1" t="s">
        <v>14</v>
      </c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" hidden="false" customHeight="false" outlineLevel="0" collapsed="false">
      <c r="A11" s="1" t="n">
        <v>1</v>
      </c>
      <c r="B11" s="4" t="s">
        <v>15</v>
      </c>
      <c r="C11" s="6" t="n">
        <v>11</v>
      </c>
      <c r="D11" s="6" t="n">
        <v>10</v>
      </c>
      <c r="E11" s="6" t="n">
        <v>4</v>
      </c>
      <c r="F11" s="6" t="n">
        <v>0</v>
      </c>
      <c r="G11" s="6" t="n">
        <v>0</v>
      </c>
      <c r="H11" s="6" t="n">
        <v>2</v>
      </c>
      <c r="I11" s="1" t="n">
        <v>27</v>
      </c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" hidden="false" customHeight="false" outlineLevel="0" collapsed="false">
      <c r="A12" s="1" t="n">
        <v>2</v>
      </c>
      <c r="B12" s="4" t="s">
        <v>16</v>
      </c>
      <c r="C12" s="6" t="n">
        <v>1</v>
      </c>
      <c r="D12" s="6" t="n">
        <v>10</v>
      </c>
      <c r="E12" s="6" t="n">
        <v>1</v>
      </c>
      <c r="F12" s="6" t="n">
        <v>0</v>
      </c>
      <c r="G12" s="6" t="n">
        <v>0</v>
      </c>
      <c r="H12" s="6" t="n">
        <v>1</v>
      </c>
      <c r="I12" s="1" t="n">
        <v>13</v>
      </c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" hidden="false" customHeight="false" outlineLevel="0" collapsed="false">
      <c r="A13" s="1" t="n">
        <v>3</v>
      </c>
      <c r="B13" s="4" t="s">
        <v>17</v>
      </c>
      <c r="C13" s="6" t="n">
        <v>2</v>
      </c>
      <c r="D13" s="6" t="n">
        <v>5</v>
      </c>
      <c r="E13" s="6" t="n">
        <v>10</v>
      </c>
      <c r="F13" s="6" t="n">
        <v>0</v>
      </c>
      <c r="G13" s="6" t="n">
        <v>0</v>
      </c>
      <c r="H13" s="6" t="n">
        <v>0</v>
      </c>
      <c r="I13" s="1" t="n">
        <v>17</v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" hidden="false" customHeight="false" outlineLevel="0" collapsed="false">
      <c r="A14" s="1" t="n">
        <v>4</v>
      </c>
      <c r="B14" s="4" t="s">
        <v>18</v>
      </c>
      <c r="C14" s="6" t="n">
        <v>2</v>
      </c>
      <c r="D14" s="6" t="n">
        <v>0</v>
      </c>
      <c r="E14" s="6" t="n">
        <v>1</v>
      </c>
      <c r="F14" s="6" t="n">
        <v>19</v>
      </c>
      <c r="G14" s="6" t="n">
        <v>4</v>
      </c>
      <c r="H14" s="6" t="n">
        <v>5</v>
      </c>
      <c r="I14" s="1" t="n">
        <v>31</v>
      </c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" hidden="false" customHeight="false" outlineLevel="0" collapsed="false">
      <c r="A15" s="7"/>
      <c r="B15" s="1" t="s">
        <v>14</v>
      </c>
      <c r="C15" s="1" t="n">
        <v>16</v>
      </c>
      <c r="D15" s="1" t="n">
        <v>25</v>
      </c>
      <c r="E15" s="1" t="n">
        <v>16</v>
      </c>
      <c r="F15" s="1" t="n">
        <v>19</v>
      </c>
      <c r="G15" s="1" t="n">
        <v>4</v>
      </c>
      <c r="H15" s="1" t="n">
        <v>8</v>
      </c>
      <c r="I15" s="1" t="n">
        <v>88</v>
      </c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" hidden="false" customHeight="false" outlineLevel="0" collapsed="false">
      <c r="A17" s="1" t="s">
        <v>0</v>
      </c>
      <c r="B17" s="1" t="s">
        <v>19</v>
      </c>
      <c r="C17" s="1" t="s">
        <v>3</v>
      </c>
      <c r="D17" s="1" t="s">
        <v>4</v>
      </c>
      <c r="E17" s="1" t="s">
        <v>11</v>
      </c>
      <c r="F17" s="1" t="s">
        <v>6</v>
      </c>
      <c r="G17" s="1" t="s">
        <v>12</v>
      </c>
      <c r="H17" s="1" t="s">
        <v>13</v>
      </c>
      <c r="I17" s="1" t="s">
        <v>14</v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" hidden="false" customHeight="false" outlineLevel="0" collapsed="false">
      <c r="A18" s="1" t="n">
        <v>1</v>
      </c>
      <c r="B18" s="4" t="s">
        <v>20</v>
      </c>
      <c r="C18" s="6" t="n">
        <f aca="false">COUNTIFS('Observations '!D2:D1000,"Bug",'Observations '!M2:M1000,"To be taken up")+COUNTIFS('Observations '!D2:D1000,"Bug",'Observations '!M2:M1000,"To be discussed and taken up")+COUNTIFS('Observations '!D2:D1000,"Bug",'Observations '!M2:M1000,"To be taken up after the collection of probable vendor names")+COUNTIFS('Observations '!D2:D1000,"Bug",'Observations '!M2:M1000,"To be done as a another asset type")</f>
        <v>15</v>
      </c>
      <c r="D18" s="6" t="n">
        <f aca="false">COUNTIFS('Observations '!D2:D1000,"Enhancements",'Observations '!M2:M1000,"To be taken up")+COUNTIFS('Observations '!D2:D1000,"Enhancements",'Observations '!M2:M1000,"To be discussed and taken up")+COUNTIFS('Observations '!D2:D1000,"Enhancements",'Observations '!M2:M1000,"To be taken up after the collection of probable vendor names")+COUNTIFS('Observations '!D2:D1000,"Enhancements",'Observations '!M2:M1000,"To be done as a another asset type")</f>
        <v>13</v>
      </c>
      <c r="E18" s="6" t="n">
        <f aca="false">COUNTIFS('Observations '!D2:D1000,"Enahancement (Productization)",'Observations '!M2:M1000,"To be taken up")+COUNTIFS('Observations '!D2:D1000,"Enahancement (Productization)",'Observations '!M2:M1000,"To be discussed and taken up")+COUNTIFS('Observations '!D2:D1000,"Enahancement (Productization)",'Observations '!M2:M1000,"To be taken up after the collection of probable vendor names")+COUNTIFS('Observations '!D2:D1000,"Enahancement (Productization)",'Observations '!M2:M1000,"To be done as a another asset type")</f>
        <v>5</v>
      </c>
      <c r="F18" s="6" t="n">
        <f aca="false">COUNTIFS('Observations '!D2:D1000,"Clarification",'Observations '!M2:M1000,"To be taken up")+COUNTIFS('Observations '!D2:D1000,"Clarification",'Observations '!M2:M1000,"To be discussed and taken up")+COUNTIFS('Observations '!D2:D1000,"Clarification",'Observations '!M2:M1000,"To be taken up after the collection of probable vendor names")+COUNTIFS('Observations '!D2:D1000,"Clarification",'Observations '!M2:M1000,"To be done as a another asset type")</f>
        <v>0</v>
      </c>
      <c r="G18" s="6" t="n">
        <f aca="false">COUNTIFS('Observations '!D2:D1000,"No Change Required",'Observations '!M2:M1000,"To be taken up")+COUNTIFS('Observations '!D2:D1000,"No Change Required",'Observations '!M2:M1000,"To be discussed and taken up")+COUNTIFS('Observations '!D2:D1000,"No Change Required",'Observations '!M2:M1000,"To be taken up after the collection of probable vendor names")+COUNTIFS('Observations '!D2:D1000,"No Change Required",'Observations '!M2:M1000,"To be done as a another asset type")</f>
        <v>0</v>
      </c>
      <c r="H18" s="6" t="n">
        <f aca="false">COUNTIF('Observations '!M2:M1000,"To be taken up")+COUNTIF('Observations '!M2:M1000,"To be discussed and taken up")+COUNTIF('Observations '!M2:M1000,"To be taken up after the collection of probable vendor names")+COUNTIF('Observations '!M2:M1000,"To be done as a another asset type")-COUNTIFS('Observations '!D2:D1000,"Bug",'Observations '!M2:M1000,"To be taken up")-COUNTIFS('Observations '!D2:D1000,"Bug",'Observations '!M2:M1000,"To be discussed and taken up")-COUNTIFS('Observations '!D2:D1000,"Bug",'Observations '!M2:M1000,"To be taken up after the collection of probable vendor names")-COUNTIFS('Observations '!D2:D1000,"Bug",'Observations '!M2:M1000,"To be done as a another asset type")-COUNTIFS('Observations '!D2:D1000,"Enhancements",'Observations '!M2:M1000,"To be taken up")-COUNTIFS('Observations '!D2:D1000,"Enhancements",'Observations '!M2:M1000,"To be discussed and taken up")-COUNTIFS('Observations '!D2:D1000,"Enhancements",'Observations '!M2:M1000,"To be taken up after the collection of probable vendor names")-COUNTIFS('Observations '!D2:D1000,"Enhancements",'Observations '!M2:M1000,"To be done as a another asset type")-COUNTIFS('Observations '!D2:D1000,"Enahancement (Productization)",'Observations '!M2:M1000,"To be taken up")-COUNTIFS('Observations '!D2:D1000,"Enahancement (Productization)",'Observations '!M2:M1000,"To be discussed and taken up")-COUNTIFS('Observations '!D2:D1000,"Enahancement (Productization)",'Observations '!M2:M1000,"To be taken up after the collection of probable vendor names")-COUNTIFS('Observations '!D2:D1000,"Enahancement (Productization)",'Observations '!M2:M1000,"To be done as a another asset type")-COUNTIFS('Observations '!D2:D1000,"Clarification",'Observations '!M2:M1000,"To be taken up")-COUNTIFS('Observations '!D2:D1000,"Clarification",'Observations '!M2:M1000,"To be discussed and taken up")-COUNTIFS('Observations '!D2:D1000,"Clarification",'Observations '!M2:M1000,"To be taken up after the collection of probable vendor names")-COUNTIFS('Observations '!D2:D1000,"Clarification",'Observations '!M2:M1000,"To be done as a another asset type")-COUNTIFS('Observations '!D2:D1000,"No Change Required",'Observations '!M2:M1000,"To be taken up")-COUNTIFS('Observations '!D2:D1000,"No Change Required",'Observations '!M2:M1000,"To be discussed and taken up")-COUNTIFS('Observations '!D2:D1000,"No Change Required",'Observations '!M2:M1000,"To be taken up after the collection of probable vendor names")-COUNTIFS('Observations '!D2:D1000,"No Change Required",'Observations '!M2:M1000,"To be done as a another asset type")</f>
        <v>1</v>
      </c>
      <c r="I18" s="1" t="n">
        <f aca="false">C18+D18+E18+F18+G18+H18</f>
        <v>34</v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" hidden="false" customHeight="false" outlineLevel="0" collapsed="false">
      <c r="A19" s="1" t="n">
        <v>2</v>
      </c>
      <c r="B19" s="4" t="s">
        <v>21</v>
      </c>
      <c r="C19" s="6" t="n">
        <f aca="false">COUNTIFS('Observations '!D2:D1000,"Bug",'Observations '!M2:M1000,"WIP")</f>
        <v>0</v>
      </c>
      <c r="D19" s="6" t="n">
        <f aca="false">COUNTIFS('Observations '!D2:D1000,"Enhancements",'Observations '!M2:M1000,"WIP")</f>
        <v>4</v>
      </c>
      <c r="E19" s="6" t="n">
        <f aca="false">COUNTIFS('Observations '!D2:D1000,"Enahancement (Productization)",'Observations '!M2:M1000,"WIP")</f>
        <v>4</v>
      </c>
      <c r="F19" s="6" t="n">
        <f aca="false">COUNTIFS('Observations '!D2:D1000,"Clarification",'Observations '!M2:M1000,"WIP")</f>
        <v>0</v>
      </c>
      <c r="G19" s="6" t="n">
        <f aca="false">COUNTIFS('Observations '!D2:D1000,"No Change Required",'Observations '!M2:M1000,"WIP")</f>
        <v>1</v>
      </c>
      <c r="H19" s="6" t="n">
        <f aca="false">COUNTIF('Observations '!M2:M1000,"WIP")-COUNTIFS('Observations '!D2:D1000,"Bug",'Observations '!M2:M1000,"WIP")-COUNTIFS('Observations '!D2:D1000,"Enhancements",'Observations '!M2:M1000,"WIP")-COUNTIFS('Observations '!D2:D1000,"Enahancement (Productization)",'Observations '!M2:M1000,"WIP")-COUNTIFS('Observations '!D2:D1000,"Clarification",'Observations '!M2:M1000,"WIP")-COUNTIFS('Observations '!D2:D1000,"No Change Required",'Observations '!M2:M1000,"WIP")</f>
        <v>0</v>
      </c>
      <c r="I19" s="1" t="n">
        <f aca="false">C19+D19+E19+F19+G19+H19</f>
        <v>9</v>
      </c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" hidden="false" customHeight="false" outlineLevel="0" collapsed="false">
      <c r="A20" s="1" t="n">
        <v>3</v>
      </c>
      <c r="B20" s="4" t="s">
        <v>22</v>
      </c>
      <c r="C20" s="6" t="n">
        <f aca="false">COUNTIFS('Observations '!D2:D1000,"Bug",'Observations '!M2:M1000,"Closed")</f>
        <v>0</v>
      </c>
      <c r="D20" s="6" t="n">
        <f aca="false">COUNTIFS('Observations '!D2:D1000,"Enhancements",'Observations '!M2:M1000,"Closed")</f>
        <v>1</v>
      </c>
      <c r="E20" s="6" t="n">
        <f aca="false">COUNTIFS('Observations '!D2:D1000,"Enahancement (Productization)",'Observations '!M2:M1000,"Closed")</f>
        <v>0</v>
      </c>
      <c r="F20" s="6" t="n">
        <f aca="false">COUNTIFS('Observations '!D2:D1000,"Clarification",'Observations '!M2:M1000,"Closed")</f>
        <v>16</v>
      </c>
      <c r="G20" s="6" t="n">
        <f aca="false">COUNTIFS('Observations '!D2:D1000,"No Change Required",'Observations '!M2:M1000,"Closed")</f>
        <v>3</v>
      </c>
      <c r="H20" s="6" t="n">
        <f aca="false">COUNTIF('Observations '!M2:M1000,"Closed")-COUNTIFS('Observations '!D2:D1000,"Bug",'Observations '!M2:M1000,"Closed")-COUNTIFS('Observations '!D2:D1000,"Enhancements",'Observations '!M2:M1000,"Closed")-COUNTIFS('Observations '!D2:D1000,"Enahancement (Productization)",'Observations '!M2:M1000,"Closed")-COUNTIFS('Observations '!D2:D1000,"Clarification",'Observations '!M2:M1000,"Closed")-COUNTIFS('Observations '!D2:D1000,"No Change Required",'Observations '!M2:M1000,"Closed")</f>
        <v>0</v>
      </c>
      <c r="I20" s="1" t="n">
        <f aca="false">C20+D20+E20+F20+G20+H20</f>
        <v>20</v>
      </c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" hidden="false" customHeight="false" outlineLevel="0" collapsed="false">
      <c r="A21" s="1" t="n">
        <v>4</v>
      </c>
      <c r="B21" s="4" t="s">
        <v>23</v>
      </c>
      <c r="C21" s="6" t="n">
        <f aca="false">COUNTIFS('Observations '!D2:D1000,"Bug",'Observations '!M2:M1000,"Need to study")+COUNTIFS('Observations '!D2:D1000,"Bug",'Observations '!M2:M1000,"To be studied")+COUNTIFS('Observations '!D2:D1000,"Bug",'Observations '!M2:M1000,"To be studied further")+COUNTIFS('Observations '!D2:D1000,"Bug",'Observations '!M2:M1000,"To be analyzed")+COUNTIFS('Observations '!D2:D1000,"Bug",'Observations '!M2:M1000,"To be analyzed the impact and feasibility")+COUNTIFS('Observations '!D2:D1000,"Bug",'Observations '!M2:M1000,"To be studied and add ational things prior to implementation")</f>
        <v>1</v>
      </c>
      <c r="D21" s="6" t="n">
        <f aca="false">COUNTIFS('Observations '!D2:D1000,"Enhancements",'Observations '!M2:M1000,"Need to study")+COUNTIFS('Observations '!D2:D1000,"Enhancements",'Observations '!M2:M1000,"To be studied")+COUNTIFS('Observations '!D2:D1000,"Enhancements",'Observations '!M2:M1000,"To be studied further")+COUNTIFS('Observations '!D2:D1000,"Enhancements",'Observations '!M2:M1000,"To be analyzed")+COUNTIFS('Observations '!D2:D1000,"Enhancements",'Observations '!M2:M1000,"To be analyzed the impact and feasibility")+COUNTIFS('Observations '!D2:D1000,"Enhancements",'Observations '!M2:M1000,"To be studied and add ational things prior to implementation")</f>
        <v>7</v>
      </c>
      <c r="E21" s="6" t="n">
        <f aca="false">COUNTIFS('Observations '!D2:D1000,"Enahancement (Productization)",'Observations '!M2:M1000,"Need to study")+COUNTIFS('Observations '!D2:D1000,"Enahancement (Productization)",'Observations '!M2:M1000,"To be studied")+COUNTIFS('Observations '!D2:D1000,"Enahancement (Productization)",'Observations '!M2:M1000,"To be studied further")+COUNTIFS('Observations '!D2:D1000,"Enahancement (Productization)",'Observations '!M2:M1000,"To be analyzed")+COUNTIFS('Observations '!D2:D1000,"Enahancement (Productization)",'Observations '!M2:M1000,"To be analyzed the impact and feasibility")+COUNTIFS('Observations '!D2:D1000,"Enahancement (Productization)",'Observations '!M2:M1000,"To be studied and add ational things prior to implementation")</f>
        <v>6</v>
      </c>
      <c r="F21" s="6" t="n">
        <f aca="false">COUNTIFS('Observations '!D2:D1000,"Clarification",'Observations '!M2:M1000,"Need to study")+COUNTIFS('Observations '!D2:D1000,"Clarification",'Observations '!M2:M1000,"To be studied")+COUNTIFS('Observations '!D2:D1000,"Clarification",'Observations '!M2:M1000,"To be studied further")+COUNTIFS('Observations '!D2:D1000,"Clarification",'Observations '!M2:M1000,"To be analyzed")+COUNTIFS('Observations '!D2:D1000,"Clarification",'Observations '!M2:M1000,"To be analyzed the impact and feasibility")+COUNTIFS('Observations '!D2:D1000,"Clarification",'Observations '!M2:M1000,"To be studied and add ational things prior to implementation")</f>
        <v>2</v>
      </c>
      <c r="G21" s="6" t="n">
        <f aca="false">COUNTIFS('Observations '!D2:D1000,"No Change Required",'Observations '!M2:M1000,"Need to study")+COUNTIFS('Observations '!D2:D1000,"No Change Required",'Observations '!M2:M1000,"To be studied")+COUNTIFS('Observations '!D2:D1000,"No Change Required",'Observations '!M2:M1000,"To be studied further")+COUNTIFS('Observations '!D2:D1000,"No Change Required",'Observations '!M2:M1000,"To be analyzed")+COUNTIFS('Observations '!D2:D1000,"No Change Required",'Observations '!M2:M1000,"To be analyzed the impact and feasibility")+COUNTIFS('Observations '!D2:D1000,"No Change Required",'Observations '!M2:M1000,"To be studied and add ational things prior to implementation")</f>
        <v>0</v>
      </c>
      <c r="H21" s="6" t="n">
        <f aca="false">COUNTIF('Observations '!M2:M1000,"Need to study")+COUNTIF('Observations '!M2:M1000,"To be studied")+COUNTIF('Observations '!M2:M1000,"To be studied further")+COUNTIF('Observations '!M2:M1000,"To be analyzed")+COUNTIF('Observations '!M2:M1000,"To be analyzed the impact and feasibility")+COUNTIF('Observations '!M2:M1000,"To be studied and add ational things prior to implementation")-COUNTIFS('Observations '!D2:D1000,"Bug",'Observations '!M2:M1000,"Need to study")-COUNTIFS('Observations '!D2:D1000,"Bug",'Observations '!M2:M1000,"To be studied")-COUNTIFS('Observations '!D2:D1000,"Bug",'Observations '!M2:M1000,"To be studied further")-COUNTIFS('Observations '!D2:D1000,"Bug",'Observations '!M2:M1000,"To be analyzed")-COUNTIFS('Observations '!D2:D1000,"Bug",'Observations '!M2:M1000,"To be analyzed the impact and feasibility")-COUNTIFS('Observations '!D2:D1000,"Bug",'Observations '!M2:M1000,"To be studied and add ational things prior to implementation")-COUNTIFS('Observations '!D2:D1000,"Enhancements",'Observations '!M2:M1000,"Need to study")-COUNTIFS('Observations '!D2:D1000,"Enhancements",'Observations '!M2:M1000,"To be studied")-COUNTIFS('Observations '!D2:D1000,"Enhancements",'Observations '!M2:M1000,"To be studied further")-COUNTIFS('Observations '!D2:D1000,"Enhancements",'Observations '!M2:M1000,"To be analyzed")-COUNTIFS('Observations '!D2:D1000,"Enhancements",'Observations '!M2:M1000,"To be analyzed the impact and feasibility")-COUNTIFS('Observations '!D2:D1000,"Enhancements",'Observations '!M2:M1000,"To be studied and add ational things prior to implementation")-COUNTIFS('Observations '!D2:D1000,"Enahancement (Productization)",'Observations '!M2:M1000,"Need to study")-COUNTIFS('Observations '!D2:D1000,"Enahancement (Productization)",'Observations '!M2:M1000,"To be studied")-COUNTIFS('Observations '!D2:D1000,"Enahancement (Productization)",'Observations '!M2:M1000,"To be studied further")-COUNTIFS('Observations '!D2:D1000,"Enahancement (Productization)",'Observations '!M2:M1000,"To be analyzed")-COUNTIFS('Observations '!D2:D1000,"Enahancement (Productization)",'Observations '!M2:M1000,"To be analyzed the impact and feasibility")-COUNTIFS('Observations '!D2:D1000,"Enahancement (Productization)",'Observations '!M2:M1000,"To be studied and add ational things prior to implementation")-COUNTIFS('Observations '!D2:D1000,"Clarification",'Observations '!M2:M1000,"Need to study")-COUNTIFS('Observations '!D2:D1000,"Clarification",'Observations '!M2:M1000,"To be studied")-COUNTIFS('Observations '!D2:D1000,"Clarification",'Observations '!M2:M1000,"To be studied further")-COUNTIFS('Observations '!D2:D1000,"Clarification",'Observations '!M2:M1000,"To be analyzed")-COUNTIFS('Observations '!D2:D1000,"Clarification",'Observations '!M2:M1000,"To be analyzed the impact and feasibility")-COUNTIFS('Observations '!D2:D1000,"Clarification",'Observations '!M2:M1000,"To be studied and add ational things prior to implementation")-COUNTIFS('Observations '!D2:D1000,"No Change Required",'Observations '!M2:M1000,"Need to study")-COUNTIFS('Observations '!D2:D1000,"No Change Required",'Observations '!M2:M1000,"To be studied")-COUNTIFS('Observations '!D2:D1000,"No Change Required",'Observations '!M2:M1000,"To be studied further")-COUNTIFS('Observations '!D2:D1000,"No Change Required",'Observations '!M2:M1000,"To be analyzed")-COUNTIFS('Observations '!D2:D1000,"No Change Required",'Observations '!M2:M1000,"To be analyzed the impact and feasibility")-COUNTIFS('Observations '!D2:D1000,"No Change Required",'Observations '!M2:M1000,"To be studied and add ational things prior to implementation")</f>
        <v>0</v>
      </c>
      <c r="I21" s="1" t="n">
        <f aca="false">C21+D21+E21+F21+G21+H21</f>
        <v>16</v>
      </c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" hidden="false" customHeight="false" outlineLevel="0" collapsed="false">
      <c r="A22" s="1" t="n">
        <v>5</v>
      </c>
      <c r="B22" s="4" t="s">
        <v>24</v>
      </c>
      <c r="C22" s="6" t="n">
        <f aca="false">COUNTIFS('Observations '!D2:D1000,"Bug",'Observations '!M2:M1000,"To be done as a another asset type")</f>
        <v>0</v>
      </c>
      <c r="D22" s="6" t="n">
        <f aca="false">COUNTIFS('Observations '!D2:D1000,"Enhancements",'Observations '!M2:M1000,"To be done as a another asset type")</f>
        <v>0</v>
      </c>
      <c r="E22" s="6" t="n">
        <f aca="false">COUNTIFS('Observations '!D2:D1000,"Enahancement (Productization)",'Observations '!M2:M1000,"To be done as a another asset type")</f>
        <v>4</v>
      </c>
      <c r="F22" s="6" t="n">
        <f aca="false">COUNTIFS('Observations '!D2:D1000,"Clarification",'Observations '!M2:M1000,"To be done as a another asset type")</f>
        <v>0</v>
      </c>
      <c r="G22" s="6" t="n">
        <f aca="false">COUNTIFS('Observations '!D2:D1000,"No Change Required",'Observations '!M2:M1000,"To be done as a another asset type")</f>
        <v>0</v>
      </c>
      <c r="H22" s="6" t="n">
        <f aca="false">COUNTIF('Observations '!M2:M1000,"To be done as a another asset type")-COUNTIFS('Observations '!D2:D1000,"Bug",'Observations '!M2:M1000,"To be done as a another asset type")-COUNTIFS('Observations '!D2:D1000,"Enhancements",'Observations '!M2:M1000,"To be done as a another asset type")-COUNTIFS('Observations '!D2:D1000,"Enahancement (Productization)",'Observations '!M2:M1000,"To be done as a another asset type")-COUNTIFS('Observations '!D2:D1000,"Clarification",'Observations '!M2:M1000,"To be done as a another asset type")-COUNTIFS('Observations '!D2:D1000,"No Change Required",'Observations '!M2:M1000,"To be done as a another asset type")</f>
        <v>0</v>
      </c>
      <c r="I22" s="1" t="n">
        <f aca="false">C22+D22+E22+F22+G22+H22</f>
        <v>4</v>
      </c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" hidden="false" customHeight="false" outlineLevel="0" collapsed="false">
      <c r="A23" s="1" t="n">
        <v>6</v>
      </c>
      <c r="B23" s="4" t="s">
        <v>25</v>
      </c>
      <c r="C23" s="6" t="n">
        <f aca="false">COUNTIFS('Observations '!D2:D1000,"Bug",'Observations '!M2:M1000,"TO be Tested")</f>
        <v>0</v>
      </c>
      <c r="D23" s="6" t="n">
        <f aca="false">COUNTIFS('Observations '!D2:D1000,"Enhancements",'Observations '!M2:M1000,"TO be Tested")</f>
        <v>0</v>
      </c>
      <c r="E23" s="6" t="n">
        <f aca="false">COUNTIFS('Observations '!D2:D1000,"Enahancement (Productization)",'Observations '!M2:M1000,"TO be Tested")</f>
        <v>0</v>
      </c>
      <c r="F23" s="6" t="n">
        <f aca="false">COUNTIFS('Observations '!D2:D1000,"Clarification",'Observations '!M2:M1000,"TO be Tested")</f>
        <v>0</v>
      </c>
      <c r="G23" s="6" t="n">
        <f aca="false">COUNTIFS('Observations '!D2:D1000,"No Change Required",'Observations '!M2:M1000,"TO be Tested")</f>
        <v>0</v>
      </c>
      <c r="H23" s="6" t="n">
        <f aca="false">COUNTIF('Observations '!M2:M1000,"TO be Tested")-COUNTIFS('Observations '!D2:D1000,"Bug",'Observations '!M2:M1000,"TO be Tested")-COUNTIFS('Observations '!D2:D1000,"Enhancements",'Observations '!M2:M1000,"TO be Tested")-COUNTIFS('Observations '!D2:D1000,"Enahancement (Productization)",'Observations '!M2:M1000,"TO be Tested")-COUNTIFS('Observations '!D2:D1000,"Clarification",'Observations '!M2:M1000,"TO be Tested")-COUNTIFS('Observations '!D2:D1000,"No Change Required",'Observations '!M2:M1000,"TO be Tested")</f>
        <v>2</v>
      </c>
      <c r="I23" s="1" t="n">
        <f aca="false">C23+D23+E23+F23+G23+H23</f>
        <v>2</v>
      </c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" hidden="false" customHeight="false" outlineLevel="0" collapsed="false">
      <c r="A24" s="1" t="n">
        <v>7</v>
      </c>
      <c r="B24" s="4" t="s">
        <v>26</v>
      </c>
      <c r="C24" s="6" t="n">
        <f aca="false">COUNTIFS('Observations '!D2:D1000,"Bug",'Observations '!M2:M1000,"Repeated")</f>
        <v>0</v>
      </c>
      <c r="D24" s="6" t="n">
        <f aca="false">COUNTIFS('Observations '!D2:D1000,"Enhancements",'Observations '!M2:M1000,"Repeated")</f>
        <v>0</v>
      </c>
      <c r="E24" s="6" t="n">
        <f aca="false">COUNTIFS('Observations '!D2:D1000,"Enahancement (Productization)",'Observations '!M2:M1000,"Repeated")</f>
        <v>1</v>
      </c>
      <c r="F24" s="6" t="n">
        <f aca="false">COUNTIFS('Observations '!D2:D1000,"Clarification",'Observations '!M2:M1000,"Repeated")</f>
        <v>0</v>
      </c>
      <c r="G24" s="6" t="n">
        <f aca="false">COUNTIFS('Observations '!D2:D1000,"No Change Required",'Observations '!M2:M1000,"Repeated")</f>
        <v>0</v>
      </c>
      <c r="H24" s="6" t="n">
        <f aca="false">COUNTIF('Observations '!M2:M1000,"Repeated")-COUNTIFS('Observations '!D2:D1000,"Bug",'Observations '!M2:M1000,"Repeated")-COUNTIFS('Observations '!D2:D1000,"Enhancements",'Observations '!M2:M1000,"Repeated")-COUNTIFS('Observations '!D2:D1000,"Enahancement (Productization)",'Observations '!M2:M1000,"Repeated")-COUNTIFS('Observations '!D2:D1000,"Clarification",'Observations '!M2:M1000,"Repeated")-COUNTIFS('Observations '!D2:D1000,"No Change Required",'Observations '!M2:M1000,"Repeated")</f>
        <v>0</v>
      </c>
      <c r="I24" s="1" t="n">
        <f aca="false">C24+D24+E24+F24+G24+H24</f>
        <v>1</v>
      </c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" hidden="false" customHeight="false" outlineLevel="0" collapsed="false">
      <c r="A25" s="1" t="n">
        <v>8</v>
      </c>
      <c r="B25" s="4" t="s">
        <v>27</v>
      </c>
      <c r="C25" s="6" t="n">
        <f aca="false">COUNTIFS('Observations '!D2:D1000,"Bug",'Observations '!M2:M1000,"Requirements not yet Finalised")</f>
        <v>0</v>
      </c>
      <c r="D25" s="6" t="n">
        <f aca="false">COUNTIFS('Observations '!D2:D1000,"Enhancements",'Observations '!M2:M1000,"Requirements not yet Finalised")</f>
        <v>0</v>
      </c>
      <c r="E25" s="6" t="n">
        <f aca="false">COUNTIFS('Observations '!D2:D1000,"Enahancement (Productization)",'Observations '!M2:M1000,"Requirements not yet Finalised")</f>
        <v>0</v>
      </c>
      <c r="F25" s="6" t="n">
        <f aca="false">COUNTIFS('Observations '!D2:D1000,"Clarification",'Observations '!M2:M1000,"Requirements not yet Finalised")</f>
        <v>0</v>
      </c>
      <c r="G25" s="6" t="n">
        <f aca="false">COUNTIFS('Observations '!D2:D1000,"No Change Required",'Observations '!M2:M1000,"Requirements not yet Finalised")</f>
        <v>0</v>
      </c>
      <c r="H25" s="6" t="n">
        <f aca="false">COUNTIF('Observations '!M2:M1000,"Requirements not yet Finalised")-COUNTIFS('Observations '!D2:D1000,"Bug",'Observations '!M2:M1000,"Requirements not yet Finalised")-COUNTIFS('Observations '!D2:D1000,"Enhancements",'Observations '!M2:M1000,"Requirements not yet Finalised")-COUNTIFS('Observations '!D2:D1000,"Enahancement (Productization)",'Observations '!M2:M1000,"Requirements not yet Finalised")-COUNTIFS('Observations '!D2:D1000,"Clarification",'Observations '!M2:M1000,"Requirements not yet Finalised")-COUNTIFS('Observations '!D2:D1000,"No Change Required",'Observations '!M2:M1000,"Requirements not yet Finalised")</f>
        <v>2</v>
      </c>
      <c r="I25" s="1" t="n">
        <f aca="false">C25+D25+E25+F25+G25+H25</f>
        <v>2</v>
      </c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" hidden="false" customHeight="false" outlineLevel="0" collapsed="false">
      <c r="A26" s="7"/>
      <c r="B26" s="1" t="s">
        <v>14</v>
      </c>
      <c r="C26" s="1" t="n">
        <f aca="false">SUM(C18:C25)</f>
        <v>16</v>
      </c>
      <c r="D26" s="1" t="n">
        <f aca="false">SUM(D18:D25)</f>
        <v>25</v>
      </c>
      <c r="E26" s="1" t="n">
        <f aca="false">SUM(E18:E25)</f>
        <v>20</v>
      </c>
      <c r="F26" s="1" t="n">
        <f aca="false">SUM(F18:F25)</f>
        <v>18</v>
      </c>
      <c r="G26" s="1" t="n">
        <f aca="false">SUM(G18:G25)</f>
        <v>4</v>
      </c>
      <c r="H26" s="1" t="n">
        <f aca="false">SUM(H18:H25)</f>
        <v>5</v>
      </c>
      <c r="I26" s="1" t="n">
        <f aca="false">SUM(I18:I25)</f>
        <v>88</v>
      </c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" hidden="false" customHeight="false" outlineLevel="0" collapsed="false">
      <c r="A28" s="8"/>
      <c r="B28" s="2"/>
      <c r="C28" s="3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" hidden="false" customHeight="false" outlineLevel="0" collapsed="false">
      <c r="A29" s="8"/>
      <c r="B29" s="2"/>
      <c r="C29" s="3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" hidden="false" customHeight="false" outlineLevel="0" collapsed="false">
      <c r="A30" s="8"/>
      <c r="B30" s="2"/>
      <c r="C30" s="3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" hidden="false" customHeight="false" outlineLevel="0" collapsed="false">
      <c r="A31" s="8"/>
      <c r="B31" s="2"/>
      <c r="C31" s="3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" hidden="false" customHeight="false" outlineLevel="0" collapsed="false">
      <c r="A32" s="8"/>
      <c r="B32" s="2"/>
      <c r="C32" s="3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" hidden="false" customHeight="false" outlineLevel="0" collapsed="false">
      <c r="A33" s="8"/>
      <c r="B33" s="2"/>
      <c r="C33" s="3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" hidden="false" customHeight="false" outlineLevel="0" collapsed="false">
      <c r="A34" s="8"/>
      <c r="B34" s="2"/>
      <c r="C34" s="3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" hidden="false" customHeight="false" outlineLevel="0" collapsed="false">
      <c r="A35" s="8"/>
      <c r="B35" s="2"/>
      <c r="C35" s="3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" hidden="false" customHeight="false" outlineLevel="0" collapsed="false">
      <c r="A36" s="8"/>
      <c r="B36" s="2"/>
      <c r="C36" s="3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" hidden="false" customHeight="false" outlineLevel="0" collapsed="false">
      <c r="A37" s="8"/>
      <c r="B37" s="2"/>
      <c r="C37" s="3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" hidden="false" customHeight="false" outlineLevel="0" collapsed="false">
      <c r="A38" s="8"/>
      <c r="B38" s="2"/>
      <c r="C38" s="3"/>
      <c r="D38" s="2"/>
      <c r="E38" s="2"/>
      <c r="F38" s="2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" hidden="false" customHeight="false" outlineLevel="0" collapsed="false">
      <c r="A39" s="8"/>
      <c r="B39" s="2"/>
      <c r="C39" s="3"/>
      <c r="D39" s="2"/>
      <c r="E39" s="2"/>
      <c r="F39" s="2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" hidden="false" customHeight="false" outlineLevel="0" collapsed="false">
      <c r="A40" s="8"/>
      <c r="B40" s="2"/>
      <c r="C40" s="3"/>
      <c r="D40" s="2"/>
      <c r="E40" s="2"/>
      <c r="F40" s="2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" hidden="false" customHeight="false" outlineLevel="0" collapsed="false">
      <c r="A41" s="8"/>
      <c r="B41" s="2"/>
      <c r="C41" s="3"/>
      <c r="D41" s="2"/>
      <c r="E41" s="2"/>
      <c r="F41" s="2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" hidden="false" customHeight="false" outlineLevel="0" collapsed="false">
      <c r="A42" s="8"/>
      <c r="B42" s="2"/>
      <c r="C42" s="3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" hidden="false" customHeight="false" outlineLevel="0" collapsed="false">
      <c r="A43" s="8"/>
      <c r="B43" s="2"/>
      <c r="C43" s="3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" hidden="false" customHeight="false" outlineLevel="0" collapsed="false">
      <c r="A44" s="8"/>
      <c r="B44" s="2"/>
      <c r="C44" s="3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" hidden="false" customHeight="false" outlineLevel="0" collapsed="false">
      <c r="A45" s="8"/>
      <c r="B45" s="2"/>
      <c r="C45" s="3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" hidden="false" customHeight="false" outlineLevel="0" collapsed="false">
      <c r="A46" s="8"/>
      <c r="B46" s="2"/>
      <c r="C46" s="3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" hidden="false" customHeight="false" outlineLevel="0" collapsed="false">
      <c r="A47" s="8"/>
      <c r="B47" s="2"/>
      <c r="C47" s="3"/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" hidden="false" customHeight="false" outlineLevel="0" collapsed="false">
      <c r="A48" s="8"/>
      <c r="B48" s="2"/>
      <c r="C48" s="3"/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" hidden="false" customHeight="false" outlineLevel="0" collapsed="false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" hidden="false" customHeight="false" outlineLevel="0" collapsed="false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" hidden="false" customHeight="false" outlineLevel="0" collapsed="false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" hidden="false" customHeight="false" outlineLevel="0" collapsed="false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" hidden="false" customHeight="false" outlineLevel="0" collapsed="false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" hidden="false" customHeight="false" outlineLevel="0" collapsed="false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" hidden="false" customHeight="false" outlineLevel="0" collapsed="false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" hidden="false" customHeight="false" outlineLevel="0" collapsed="false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" hidden="false" customHeight="false" outlineLevel="0" collapsed="false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" hidden="false" customHeight="false" outlineLevel="0" collapsed="false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" hidden="false" customHeight="false" outlineLevel="0" collapsed="false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" hidden="false" customHeight="false" outlineLevel="0" collapsed="false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" hidden="false" customHeight="false" outlineLevel="0" collapsed="false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" hidden="false" customHeight="false" outlineLevel="0" collapsed="false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false" outlineLevel="0" collapsed="false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" hidden="false" customHeight="false" outlineLevel="0" collapsed="false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" hidden="false" customHeight="false" outlineLevel="0" collapsed="false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" hidden="false" customHeight="false" outlineLevel="0" collapsed="false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" hidden="false" customHeight="false" outlineLevel="0" collapsed="false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" hidden="false" customHeight="false" outlineLevel="0" collapsed="false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" hidden="false" customHeight="false" outlineLevel="0" collapsed="false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" hidden="false" customHeight="false" outlineLevel="0" collapsed="false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" hidden="false" customHeight="false" outlineLevel="0" collapsed="false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" hidden="false" customHeight="false" outlineLevel="0" collapsed="false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" hidden="false" customHeight="false" outlineLevel="0" collapsed="false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" hidden="false" customHeight="false" outlineLevel="0" collapsed="false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" hidden="false" customHeight="false" outlineLevel="0" collapsed="false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" hidden="false" customHeight="false" outlineLevel="0" collapsed="false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" hidden="false" customHeight="false" outlineLevel="0" collapsed="false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" hidden="false" customHeight="false" outlineLevel="0" collapsed="false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" hidden="false" customHeight="false" outlineLevel="0" collapsed="false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" hidden="false" customHeight="false" outlineLevel="0" collapsed="false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" hidden="false" customHeight="false" outlineLevel="0" collapsed="false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" hidden="false" customHeight="false" outlineLevel="0" collapsed="false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" hidden="false" customHeight="false" outlineLevel="0" collapsed="false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" hidden="false" customHeight="false" outlineLevel="0" collapsed="false">
      <c r="A84" s="8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" hidden="false" customHeight="false" outlineLevel="0" collapsed="false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" hidden="false" customHeight="false" outlineLevel="0" collapsed="false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" hidden="false" customHeight="false" outlineLevel="0" collapsed="false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" hidden="false" customHeight="false" outlineLevel="0" collapsed="false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" hidden="false" customHeight="false" outlineLevel="0" collapsed="false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" hidden="false" customHeight="false" outlineLevel="0" collapsed="false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" hidden="false" customHeight="false" outlineLevel="0" collapsed="false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" hidden="false" customHeight="false" outlineLevel="0" collapsed="false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" hidden="false" customHeight="false" outlineLevel="0" collapsed="false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" hidden="false" customHeight="false" outlineLevel="0" collapsed="false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" hidden="false" customHeight="false" outlineLevel="0" collapsed="false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" hidden="false" customHeight="false" outlineLevel="0" collapsed="false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" hidden="false" customHeight="false" outlineLevel="0" collapsed="false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" hidden="false" customHeight="false" outlineLevel="0" collapsed="false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" hidden="false" customHeight="false" outlineLevel="0" collapsed="false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" hidden="false" customHeight="false" outlineLevel="0" collapsed="false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" hidden="false" customHeight="false" outlineLevel="0" collapsed="false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" hidden="false" customHeight="false" outlineLevel="0" collapsed="false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" hidden="false" customHeight="false" outlineLevel="0" collapsed="false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" hidden="false" customHeight="false" outlineLevel="0" collapsed="false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" hidden="false" customHeight="false" outlineLevel="0" collapsed="false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" hidden="false" customHeight="false" outlineLevel="0" collapsed="false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" hidden="false" customHeight="false" outlineLevel="0" collapsed="false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" hidden="false" customHeight="false" outlineLevel="0" collapsed="false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" hidden="false" customHeight="false" outlineLevel="0" collapsed="false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" hidden="false" customHeight="false" outlineLevel="0" collapsed="false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" hidden="false" customHeight="false" outlineLevel="0" collapsed="false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" hidden="false" customHeight="false" outlineLevel="0" collapsed="false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" hidden="false" customHeight="false" outlineLevel="0" collapsed="false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" hidden="false" customHeight="false" outlineLevel="0" collapsed="false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" hidden="false" customHeight="false" outlineLevel="0" collapsed="false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" hidden="false" customHeight="false" outlineLevel="0" collapsed="false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" hidden="false" customHeight="false" outlineLevel="0" collapsed="false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" hidden="false" customHeight="false" outlineLevel="0" collapsed="false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" hidden="false" customHeight="false" outlineLevel="0" collapsed="false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" hidden="false" customHeight="false" outlineLevel="0" collapsed="false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" hidden="false" customHeight="false" outlineLevel="0" collapsed="false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" hidden="false" customHeight="false" outlineLevel="0" collapsed="false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" hidden="false" customHeight="false" outlineLevel="0" collapsed="false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" hidden="false" customHeight="false" outlineLevel="0" collapsed="false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" hidden="false" customHeight="false" outlineLevel="0" collapsed="false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" hidden="false" customHeight="false" outlineLevel="0" collapsed="false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" hidden="false" customHeight="false" outlineLevel="0" collapsed="false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" hidden="false" customHeight="false" outlineLevel="0" collapsed="false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" hidden="false" customHeight="false" outlineLevel="0" collapsed="false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" hidden="false" customHeight="false" outlineLevel="0" collapsed="false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" hidden="false" customHeight="false" outlineLevel="0" collapsed="false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" hidden="false" customHeight="false" outlineLevel="0" collapsed="false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" hidden="false" customHeight="false" outlineLevel="0" collapsed="false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false" outlineLevel="0" collapsed="false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" hidden="false" customHeight="false" outlineLevel="0" collapsed="false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" hidden="false" customHeight="false" outlineLevel="0" collapsed="false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" hidden="false" customHeight="false" outlineLevel="0" collapsed="false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" hidden="false" customHeight="false" outlineLevel="0" collapsed="false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" hidden="false" customHeight="false" outlineLevel="0" collapsed="false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" hidden="false" customHeight="false" outlineLevel="0" collapsed="false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" hidden="false" customHeight="false" outlineLevel="0" collapsed="false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" hidden="false" customHeight="false" outlineLevel="0" collapsed="false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" hidden="false" customHeight="false" outlineLevel="0" collapsed="false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" hidden="false" customHeight="false" outlineLevel="0" collapsed="false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" hidden="false" customHeight="false" outlineLevel="0" collapsed="false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" hidden="false" customHeight="false" outlineLevel="0" collapsed="false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false" outlineLevel="0" collapsed="false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" hidden="false" customHeight="false" outlineLevel="0" collapsed="false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" hidden="false" customHeight="false" outlineLevel="0" collapsed="false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" hidden="false" customHeight="false" outlineLevel="0" collapsed="false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" hidden="false" customHeight="false" outlineLevel="0" collapsed="false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" hidden="false" customHeight="false" outlineLevel="0" collapsed="false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" hidden="false" customHeight="false" outlineLevel="0" collapsed="false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" hidden="false" customHeight="false" outlineLevel="0" collapsed="false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" hidden="false" customHeight="false" outlineLevel="0" collapsed="false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" hidden="false" customHeight="false" outlineLevel="0" collapsed="false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" hidden="false" customHeight="false" outlineLevel="0" collapsed="false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" hidden="false" customHeight="false" outlineLevel="0" collapsed="false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" hidden="false" customHeight="false" outlineLevel="0" collapsed="false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" hidden="false" customHeight="false" outlineLevel="0" collapsed="false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" hidden="false" customHeight="false" outlineLevel="0" collapsed="false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" hidden="false" customHeight="false" outlineLevel="0" collapsed="false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" hidden="false" customHeight="false" outlineLevel="0" collapsed="false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" hidden="false" customHeight="false" outlineLevel="0" collapsed="false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" hidden="false" customHeight="false" outlineLevel="0" collapsed="false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" hidden="false" customHeight="false" outlineLevel="0" collapsed="false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" hidden="false" customHeight="false" outlineLevel="0" collapsed="false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" hidden="false" customHeight="false" outlineLevel="0" collapsed="false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" hidden="false" customHeight="false" outlineLevel="0" collapsed="false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" hidden="false" customHeight="false" outlineLevel="0" collapsed="false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" hidden="false" customHeight="false" outlineLevel="0" collapsed="false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" hidden="false" customHeight="false" outlineLevel="0" collapsed="false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" hidden="false" customHeight="false" outlineLevel="0" collapsed="false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" hidden="false" customHeight="false" outlineLevel="0" collapsed="false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" hidden="false" customHeight="false" outlineLevel="0" collapsed="false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" hidden="false" customHeight="false" outlineLevel="0" collapsed="false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" hidden="false" customHeight="false" outlineLevel="0" collapsed="false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" hidden="false" customHeight="false" outlineLevel="0" collapsed="false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" hidden="false" customHeight="false" outlineLevel="0" collapsed="false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" hidden="false" customHeight="false" outlineLevel="0" collapsed="false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" hidden="false" customHeight="false" outlineLevel="0" collapsed="false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" hidden="false" customHeight="false" outlineLevel="0" collapsed="false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" hidden="false" customHeight="false" outlineLevel="0" collapsed="false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" hidden="false" customHeight="false" outlineLevel="0" collapsed="false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" hidden="false" customHeight="false" outlineLevel="0" collapsed="false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false" outlineLevel="0" collapsed="false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" hidden="false" customHeight="false" outlineLevel="0" collapsed="false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" hidden="false" customHeight="false" outlineLevel="0" collapsed="false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" hidden="false" customHeight="false" outlineLevel="0" collapsed="false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" hidden="false" customHeight="false" outlineLevel="0" collapsed="false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" hidden="false" customHeight="false" outlineLevel="0" collapsed="false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" hidden="false" customHeight="false" outlineLevel="0" collapsed="false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false" outlineLevel="0" collapsed="false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" hidden="false" customHeight="false" outlineLevel="0" collapsed="false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" hidden="false" customHeight="false" outlineLevel="0" collapsed="false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" hidden="false" customHeight="false" outlineLevel="0" collapsed="false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" hidden="false" customHeight="false" outlineLevel="0" collapsed="false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" hidden="false" customHeight="false" outlineLevel="0" collapsed="false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" hidden="false" customHeight="false" outlineLevel="0" collapsed="false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" hidden="false" customHeight="false" outlineLevel="0" collapsed="false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" hidden="false" customHeight="false" outlineLevel="0" collapsed="false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" hidden="false" customHeight="false" outlineLevel="0" collapsed="false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" hidden="false" customHeight="false" outlineLevel="0" collapsed="false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" hidden="false" customHeight="false" outlineLevel="0" collapsed="false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" hidden="false" customHeight="false" outlineLevel="0" collapsed="false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" hidden="false" customHeight="false" outlineLevel="0" collapsed="false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" hidden="false" customHeight="false" outlineLevel="0" collapsed="false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" hidden="false" customHeight="false" outlineLevel="0" collapsed="false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" hidden="false" customHeight="false" outlineLevel="0" collapsed="false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" hidden="false" customHeight="false" outlineLevel="0" collapsed="false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" hidden="false" customHeight="false" outlineLevel="0" collapsed="false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" hidden="false" customHeight="false" outlineLevel="0" collapsed="false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" hidden="false" customHeight="false" outlineLevel="0" collapsed="false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" hidden="false" customHeight="false" outlineLevel="0" collapsed="false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" hidden="false" customHeight="false" outlineLevel="0" collapsed="false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" hidden="false" customHeight="false" outlineLevel="0" collapsed="false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" hidden="false" customHeight="false" outlineLevel="0" collapsed="false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" hidden="false" customHeight="false" outlineLevel="0" collapsed="false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" hidden="false" customHeight="false" outlineLevel="0" collapsed="false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" hidden="false" customHeight="false" outlineLevel="0" collapsed="false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" hidden="false" customHeight="false" outlineLevel="0" collapsed="false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" hidden="false" customHeight="false" outlineLevel="0" collapsed="false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" hidden="false" customHeight="false" outlineLevel="0" collapsed="false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" hidden="false" customHeight="false" outlineLevel="0" collapsed="false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" hidden="false" customHeight="false" outlineLevel="0" collapsed="false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" hidden="false" customHeight="false" outlineLevel="0" collapsed="false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" hidden="false" customHeight="false" outlineLevel="0" collapsed="false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" hidden="false" customHeight="false" outlineLevel="0" collapsed="false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" hidden="false" customHeight="false" outlineLevel="0" collapsed="false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" hidden="false" customHeight="false" outlineLevel="0" collapsed="false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" hidden="false" customHeight="false" outlineLevel="0" collapsed="false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" hidden="false" customHeight="false" outlineLevel="0" collapsed="false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" hidden="false" customHeight="false" outlineLevel="0" collapsed="false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" hidden="false" customHeight="false" outlineLevel="0" collapsed="false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" hidden="false" customHeight="false" outlineLevel="0" collapsed="false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" hidden="false" customHeight="false" outlineLevel="0" collapsed="false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" hidden="false" customHeight="false" outlineLevel="0" collapsed="false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" hidden="false" customHeight="false" outlineLevel="0" collapsed="false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" hidden="false" customHeight="false" outlineLevel="0" collapsed="false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" hidden="false" customHeight="false" outlineLevel="0" collapsed="false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" hidden="false" customHeight="false" outlineLevel="0" collapsed="false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" hidden="false" customHeight="false" outlineLevel="0" collapsed="false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" hidden="false" customHeight="false" outlineLevel="0" collapsed="false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" hidden="false" customHeight="false" outlineLevel="0" collapsed="false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" hidden="false" customHeight="false" outlineLevel="0" collapsed="false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" hidden="false" customHeight="false" outlineLevel="0" collapsed="false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" hidden="false" customHeight="false" outlineLevel="0" collapsed="false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" hidden="false" customHeight="false" outlineLevel="0" collapsed="false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" hidden="false" customHeight="false" outlineLevel="0" collapsed="false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" hidden="false" customHeight="false" outlineLevel="0" collapsed="false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" hidden="false" customHeight="false" outlineLevel="0" collapsed="false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" hidden="false" customHeight="false" outlineLevel="0" collapsed="false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" hidden="false" customHeight="false" outlineLevel="0" collapsed="false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" hidden="false" customHeight="false" outlineLevel="0" collapsed="false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" hidden="false" customHeight="false" outlineLevel="0" collapsed="false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" hidden="false" customHeight="false" outlineLevel="0" collapsed="false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" hidden="false" customHeight="false" outlineLevel="0" collapsed="false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" hidden="false" customHeight="false" outlineLevel="0" collapsed="false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" hidden="false" customHeight="false" outlineLevel="0" collapsed="false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" hidden="false" customHeight="false" outlineLevel="0" collapsed="false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" hidden="false" customHeight="false" outlineLevel="0" collapsed="false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" hidden="false" customHeight="false" outlineLevel="0" collapsed="false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" hidden="false" customHeight="false" outlineLevel="0" collapsed="false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" hidden="false" customHeight="false" outlineLevel="0" collapsed="false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" hidden="false" customHeight="false" outlineLevel="0" collapsed="false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" hidden="false" customHeight="false" outlineLevel="0" collapsed="false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" hidden="false" customHeight="false" outlineLevel="0" collapsed="false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" hidden="false" customHeight="false" outlineLevel="0" collapsed="false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" hidden="false" customHeight="false" outlineLevel="0" collapsed="false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" hidden="false" customHeight="false" outlineLevel="0" collapsed="false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" hidden="false" customHeight="false" outlineLevel="0" collapsed="false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" hidden="false" customHeight="false" outlineLevel="0" collapsed="false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" hidden="false" customHeight="false" outlineLevel="0" collapsed="false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" hidden="false" customHeight="false" outlineLevel="0" collapsed="false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" hidden="false" customHeight="false" outlineLevel="0" collapsed="false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" hidden="false" customHeight="false" outlineLevel="0" collapsed="false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" hidden="false" customHeight="false" outlineLevel="0" collapsed="false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" hidden="false" customHeight="false" outlineLevel="0" collapsed="false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" hidden="false" customHeight="false" outlineLevel="0" collapsed="false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" hidden="false" customHeight="false" outlineLevel="0" collapsed="false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" hidden="false" customHeight="false" outlineLevel="0" collapsed="false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" hidden="false" customHeight="false" outlineLevel="0" collapsed="false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" hidden="false" customHeight="false" outlineLevel="0" collapsed="false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" hidden="false" customHeight="false" outlineLevel="0" collapsed="false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" hidden="false" customHeight="false" outlineLevel="0" collapsed="false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" hidden="false" customHeight="false" outlineLevel="0" collapsed="false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" hidden="false" customHeight="false" outlineLevel="0" collapsed="false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" hidden="false" customHeight="false" outlineLevel="0" collapsed="false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" hidden="false" customHeight="false" outlineLevel="0" collapsed="false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" hidden="false" customHeight="false" outlineLevel="0" collapsed="false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" hidden="false" customHeight="false" outlineLevel="0" collapsed="false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" hidden="false" customHeight="false" outlineLevel="0" collapsed="false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" hidden="false" customHeight="false" outlineLevel="0" collapsed="false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" hidden="false" customHeight="false" outlineLevel="0" collapsed="false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" hidden="false" customHeight="false" outlineLevel="0" collapsed="false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" hidden="false" customHeight="false" outlineLevel="0" collapsed="false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" hidden="false" customHeight="false" outlineLevel="0" collapsed="false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" hidden="false" customHeight="false" outlineLevel="0" collapsed="false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" hidden="false" customHeight="false" outlineLevel="0" collapsed="false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" hidden="false" customHeight="false" outlineLevel="0" collapsed="false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" hidden="false" customHeight="false" outlineLevel="0" collapsed="false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" hidden="false" customHeight="false" outlineLevel="0" collapsed="false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" hidden="false" customHeight="false" outlineLevel="0" collapsed="false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" hidden="false" customHeight="false" outlineLevel="0" collapsed="false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" hidden="false" customHeight="false" outlineLevel="0" collapsed="false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" hidden="false" customHeight="false" outlineLevel="0" collapsed="false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" hidden="false" customHeight="false" outlineLevel="0" collapsed="false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" hidden="false" customHeight="false" outlineLevel="0" collapsed="false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" hidden="false" customHeight="false" outlineLevel="0" collapsed="false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" hidden="false" customHeight="false" outlineLevel="0" collapsed="false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" hidden="false" customHeight="false" outlineLevel="0" collapsed="false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" hidden="false" customHeight="false" outlineLevel="0" collapsed="false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" hidden="false" customHeight="false" outlineLevel="0" collapsed="false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" hidden="false" customHeight="false" outlineLevel="0" collapsed="false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" hidden="false" customHeight="false" outlineLevel="0" collapsed="false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" hidden="false" customHeight="false" outlineLevel="0" collapsed="false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" hidden="false" customHeight="false" outlineLevel="0" collapsed="false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" hidden="false" customHeight="false" outlineLevel="0" collapsed="false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" hidden="false" customHeight="false" outlineLevel="0" collapsed="false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" hidden="false" customHeight="false" outlineLevel="0" collapsed="false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" hidden="false" customHeight="false" outlineLevel="0" collapsed="false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" hidden="false" customHeight="false" outlineLevel="0" collapsed="false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" hidden="false" customHeight="false" outlineLevel="0" collapsed="false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" hidden="false" customHeight="false" outlineLevel="0" collapsed="false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" hidden="false" customHeight="false" outlineLevel="0" collapsed="false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" hidden="false" customHeight="false" outlineLevel="0" collapsed="false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" hidden="false" customHeight="false" outlineLevel="0" collapsed="false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" hidden="false" customHeight="false" outlineLevel="0" collapsed="false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" hidden="false" customHeight="false" outlineLevel="0" collapsed="false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" hidden="false" customHeight="false" outlineLevel="0" collapsed="false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" hidden="false" customHeight="false" outlineLevel="0" collapsed="false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" hidden="false" customHeight="false" outlineLevel="0" collapsed="false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" hidden="false" customHeight="false" outlineLevel="0" collapsed="false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" hidden="false" customHeight="false" outlineLevel="0" collapsed="false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" hidden="false" customHeight="false" outlineLevel="0" collapsed="false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" hidden="false" customHeight="false" outlineLevel="0" collapsed="false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" hidden="false" customHeight="false" outlineLevel="0" collapsed="false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" hidden="false" customHeight="false" outlineLevel="0" collapsed="false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" hidden="false" customHeight="false" outlineLevel="0" collapsed="false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" hidden="false" customHeight="false" outlineLevel="0" collapsed="false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" hidden="false" customHeight="false" outlineLevel="0" collapsed="false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" hidden="false" customHeight="false" outlineLevel="0" collapsed="false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" hidden="false" customHeight="false" outlineLevel="0" collapsed="false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" hidden="false" customHeight="false" outlineLevel="0" collapsed="false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" hidden="false" customHeight="false" outlineLevel="0" collapsed="false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" hidden="false" customHeight="false" outlineLevel="0" collapsed="false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" hidden="false" customHeight="false" outlineLevel="0" collapsed="false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" hidden="false" customHeight="false" outlineLevel="0" collapsed="false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" hidden="false" customHeight="false" outlineLevel="0" collapsed="false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" hidden="false" customHeight="false" outlineLevel="0" collapsed="false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" hidden="false" customHeight="false" outlineLevel="0" collapsed="false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" hidden="false" customHeight="false" outlineLevel="0" collapsed="false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" hidden="false" customHeight="false" outlineLevel="0" collapsed="false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" hidden="false" customHeight="false" outlineLevel="0" collapsed="false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" hidden="false" customHeight="false" outlineLevel="0" collapsed="false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" hidden="false" customHeight="false" outlineLevel="0" collapsed="false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" hidden="false" customHeight="false" outlineLevel="0" collapsed="false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" hidden="false" customHeight="false" outlineLevel="0" collapsed="false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" hidden="false" customHeight="false" outlineLevel="0" collapsed="false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" hidden="false" customHeight="false" outlineLevel="0" collapsed="false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" hidden="false" customHeight="false" outlineLevel="0" collapsed="false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" hidden="false" customHeight="false" outlineLevel="0" collapsed="false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" hidden="false" customHeight="false" outlineLevel="0" collapsed="false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" hidden="false" customHeight="false" outlineLevel="0" collapsed="false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" hidden="false" customHeight="false" outlineLevel="0" collapsed="false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" hidden="false" customHeight="false" outlineLevel="0" collapsed="false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" hidden="false" customHeight="false" outlineLevel="0" collapsed="false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" hidden="false" customHeight="false" outlineLevel="0" collapsed="false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" hidden="false" customHeight="false" outlineLevel="0" collapsed="false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" hidden="false" customHeight="false" outlineLevel="0" collapsed="false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" hidden="false" customHeight="false" outlineLevel="0" collapsed="false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" hidden="false" customHeight="false" outlineLevel="0" collapsed="false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" hidden="false" customHeight="false" outlineLevel="0" collapsed="false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" hidden="false" customHeight="false" outlineLevel="0" collapsed="false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" hidden="false" customHeight="false" outlineLevel="0" collapsed="false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" hidden="false" customHeight="false" outlineLevel="0" collapsed="false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" hidden="false" customHeight="false" outlineLevel="0" collapsed="false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" hidden="false" customHeight="false" outlineLevel="0" collapsed="false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" hidden="false" customHeight="false" outlineLevel="0" collapsed="false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" hidden="false" customHeight="false" outlineLevel="0" collapsed="false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" hidden="false" customHeight="false" outlineLevel="0" collapsed="false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" hidden="false" customHeight="false" outlineLevel="0" collapsed="false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" hidden="false" customHeight="false" outlineLevel="0" collapsed="false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" hidden="false" customHeight="false" outlineLevel="0" collapsed="false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" hidden="false" customHeight="false" outlineLevel="0" collapsed="false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" hidden="false" customHeight="false" outlineLevel="0" collapsed="false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" hidden="false" customHeight="false" outlineLevel="0" collapsed="false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" hidden="false" customHeight="false" outlineLevel="0" collapsed="false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" hidden="false" customHeight="false" outlineLevel="0" collapsed="false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" hidden="false" customHeight="false" outlineLevel="0" collapsed="false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" hidden="false" customHeight="false" outlineLevel="0" collapsed="false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" hidden="false" customHeight="false" outlineLevel="0" collapsed="false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" hidden="false" customHeight="false" outlineLevel="0" collapsed="false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" hidden="false" customHeight="false" outlineLevel="0" collapsed="false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" hidden="false" customHeight="false" outlineLevel="0" collapsed="false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" hidden="false" customHeight="false" outlineLevel="0" collapsed="false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" hidden="false" customHeight="false" outlineLevel="0" collapsed="false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" hidden="false" customHeight="false" outlineLevel="0" collapsed="false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" hidden="false" customHeight="false" outlineLevel="0" collapsed="false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" hidden="false" customHeight="false" outlineLevel="0" collapsed="false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" hidden="false" customHeight="false" outlineLevel="0" collapsed="false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" hidden="false" customHeight="false" outlineLevel="0" collapsed="false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" hidden="false" customHeight="false" outlineLevel="0" collapsed="false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" hidden="false" customHeight="false" outlineLevel="0" collapsed="false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" hidden="false" customHeight="false" outlineLevel="0" collapsed="false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" hidden="false" customHeight="false" outlineLevel="0" collapsed="false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" hidden="false" customHeight="false" outlineLevel="0" collapsed="false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" hidden="false" customHeight="false" outlineLevel="0" collapsed="false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" hidden="false" customHeight="false" outlineLevel="0" collapsed="false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" hidden="false" customHeight="false" outlineLevel="0" collapsed="false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" hidden="false" customHeight="false" outlineLevel="0" collapsed="false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" hidden="false" customHeight="false" outlineLevel="0" collapsed="false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" hidden="false" customHeight="false" outlineLevel="0" collapsed="false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" hidden="false" customHeight="false" outlineLevel="0" collapsed="false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" hidden="false" customHeight="false" outlineLevel="0" collapsed="false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" hidden="false" customHeight="false" outlineLevel="0" collapsed="false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" hidden="false" customHeight="false" outlineLevel="0" collapsed="false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" hidden="false" customHeight="false" outlineLevel="0" collapsed="false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" hidden="false" customHeight="false" outlineLevel="0" collapsed="false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" hidden="false" customHeight="false" outlineLevel="0" collapsed="false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" hidden="false" customHeight="false" outlineLevel="0" collapsed="false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" hidden="false" customHeight="false" outlineLevel="0" collapsed="false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" hidden="false" customHeight="false" outlineLevel="0" collapsed="false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" hidden="false" customHeight="false" outlineLevel="0" collapsed="false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" hidden="false" customHeight="false" outlineLevel="0" collapsed="false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" hidden="false" customHeight="false" outlineLevel="0" collapsed="false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" hidden="false" customHeight="false" outlineLevel="0" collapsed="false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" hidden="false" customHeight="false" outlineLevel="0" collapsed="false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" hidden="false" customHeight="false" outlineLevel="0" collapsed="false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" hidden="false" customHeight="false" outlineLevel="0" collapsed="false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" hidden="false" customHeight="false" outlineLevel="0" collapsed="false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" hidden="false" customHeight="false" outlineLevel="0" collapsed="false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" hidden="false" customHeight="false" outlineLevel="0" collapsed="false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" hidden="false" customHeight="false" outlineLevel="0" collapsed="false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" hidden="false" customHeight="false" outlineLevel="0" collapsed="false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" hidden="false" customHeight="false" outlineLevel="0" collapsed="false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" hidden="false" customHeight="false" outlineLevel="0" collapsed="false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" hidden="false" customHeight="false" outlineLevel="0" collapsed="false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" hidden="false" customHeight="false" outlineLevel="0" collapsed="false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" hidden="false" customHeight="false" outlineLevel="0" collapsed="false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" hidden="false" customHeight="false" outlineLevel="0" collapsed="false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" hidden="false" customHeight="false" outlineLevel="0" collapsed="false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" hidden="false" customHeight="false" outlineLevel="0" collapsed="false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" hidden="false" customHeight="false" outlineLevel="0" collapsed="false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" hidden="false" customHeight="false" outlineLevel="0" collapsed="false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" hidden="false" customHeight="false" outlineLevel="0" collapsed="false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" hidden="false" customHeight="false" outlineLevel="0" collapsed="false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" hidden="false" customHeight="false" outlineLevel="0" collapsed="false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" hidden="false" customHeight="false" outlineLevel="0" collapsed="false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" hidden="false" customHeight="false" outlineLevel="0" collapsed="false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" hidden="false" customHeight="false" outlineLevel="0" collapsed="false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" hidden="false" customHeight="false" outlineLevel="0" collapsed="false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" hidden="false" customHeight="false" outlineLevel="0" collapsed="false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" hidden="false" customHeight="false" outlineLevel="0" collapsed="false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" hidden="false" customHeight="false" outlineLevel="0" collapsed="false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" hidden="false" customHeight="false" outlineLevel="0" collapsed="false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" hidden="false" customHeight="false" outlineLevel="0" collapsed="false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" hidden="false" customHeight="false" outlineLevel="0" collapsed="false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" hidden="false" customHeight="false" outlineLevel="0" collapsed="false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" hidden="false" customHeight="false" outlineLevel="0" collapsed="false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" hidden="false" customHeight="false" outlineLevel="0" collapsed="false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" hidden="false" customHeight="false" outlineLevel="0" collapsed="false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" hidden="false" customHeight="false" outlineLevel="0" collapsed="false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" hidden="false" customHeight="false" outlineLevel="0" collapsed="false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" hidden="false" customHeight="false" outlineLevel="0" collapsed="false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" hidden="false" customHeight="false" outlineLevel="0" collapsed="false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" hidden="false" customHeight="false" outlineLevel="0" collapsed="false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" hidden="false" customHeight="false" outlineLevel="0" collapsed="false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" hidden="false" customHeight="false" outlineLevel="0" collapsed="false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" hidden="false" customHeight="false" outlineLevel="0" collapsed="false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" hidden="false" customHeight="false" outlineLevel="0" collapsed="false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" hidden="false" customHeight="false" outlineLevel="0" collapsed="false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" hidden="false" customHeight="false" outlineLevel="0" collapsed="false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" hidden="false" customHeight="false" outlineLevel="0" collapsed="false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" hidden="false" customHeight="false" outlineLevel="0" collapsed="false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" hidden="false" customHeight="false" outlineLevel="0" collapsed="false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" hidden="false" customHeight="false" outlineLevel="0" collapsed="false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" hidden="false" customHeight="false" outlineLevel="0" collapsed="false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" hidden="false" customHeight="false" outlineLevel="0" collapsed="false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" hidden="false" customHeight="false" outlineLevel="0" collapsed="false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" hidden="false" customHeight="false" outlineLevel="0" collapsed="false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" hidden="false" customHeight="false" outlineLevel="0" collapsed="false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" hidden="false" customHeight="false" outlineLevel="0" collapsed="false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" hidden="false" customHeight="false" outlineLevel="0" collapsed="false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" hidden="false" customHeight="false" outlineLevel="0" collapsed="false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" hidden="false" customHeight="false" outlineLevel="0" collapsed="false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" hidden="false" customHeight="false" outlineLevel="0" collapsed="false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" hidden="false" customHeight="false" outlineLevel="0" collapsed="false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" hidden="false" customHeight="false" outlineLevel="0" collapsed="false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" hidden="false" customHeight="false" outlineLevel="0" collapsed="false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" hidden="false" customHeight="false" outlineLevel="0" collapsed="false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" hidden="false" customHeight="false" outlineLevel="0" collapsed="false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" hidden="false" customHeight="false" outlineLevel="0" collapsed="false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" hidden="false" customHeight="false" outlineLevel="0" collapsed="false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" hidden="false" customHeight="false" outlineLevel="0" collapsed="false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" hidden="false" customHeight="false" outlineLevel="0" collapsed="false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" hidden="false" customHeight="false" outlineLevel="0" collapsed="false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" hidden="false" customHeight="false" outlineLevel="0" collapsed="false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" hidden="false" customHeight="false" outlineLevel="0" collapsed="false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" hidden="false" customHeight="false" outlineLevel="0" collapsed="false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" hidden="false" customHeight="false" outlineLevel="0" collapsed="false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" hidden="false" customHeight="false" outlineLevel="0" collapsed="false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" hidden="false" customHeight="false" outlineLevel="0" collapsed="false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" hidden="false" customHeight="false" outlineLevel="0" collapsed="false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" hidden="false" customHeight="false" outlineLevel="0" collapsed="false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" hidden="false" customHeight="false" outlineLevel="0" collapsed="false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" hidden="false" customHeight="false" outlineLevel="0" collapsed="false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" hidden="false" customHeight="false" outlineLevel="0" collapsed="false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" hidden="false" customHeight="false" outlineLevel="0" collapsed="false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" hidden="false" customHeight="false" outlineLevel="0" collapsed="false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" hidden="false" customHeight="false" outlineLevel="0" collapsed="false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" hidden="false" customHeight="false" outlineLevel="0" collapsed="false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" hidden="false" customHeight="false" outlineLevel="0" collapsed="false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" hidden="false" customHeight="false" outlineLevel="0" collapsed="false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" hidden="false" customHeight="false" outlineLevel="0" collapsed="false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" hidden="false" customHeight="false" outlineLevel="0" collapsed="false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" hidden="false" customHeight="false" outlineLevel="0" collapsed="false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" hidden="false" customHeight="false" outlineLevel="0" collapsed="false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" hidden="false" customHeight="false" outlineLevel="0" collapsed="false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" hidden="false" customHeight="false" outlineLevel="0" collapsed="false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" hidden="false" customHeight="false" outlineLevel="0" collapsed="false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" hidden="false" customHeight="false" outlineLevel="0" collapsed="false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" hidden="false" customHeight="false" outlineLevel="0" collapsed="false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" hidden="false" customHeight="false" outlineLevel="0" collapsed="false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" hidden="false" customHeight="false" outlineLevel="0" collapsed="false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" hidden="false" customHeight="false" outlineLevel="0" collapsed="false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" hidden="false" customHeight="false" outlineLevel="0" collapsed="false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" hidden="false" customHeight="false" outlineLevel="0" collapsed="false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" hidden="false" customHeight="false" outlineLevel="0" collapsed="false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" hidden="false" customHeight="false" outlineLevel="0" collapsed="false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" hidden="false" customHeight="false" outlineLevel="0" collapsed="false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" hidden="false" customHeight="false" outlineLevel="0" collapsed="false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" hidden="false" customHeight="false" outlineLevel="0" collapsed="false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" hidden="false" customHeight="false" outlineLevel="0" collapsed="false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" hidden="false" customHeight="false" outlineLevel="0" collapsed="false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" hidden="false" customHeight="false" outlineLevel="0" collapsed="false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" hidden="false" customHeight="false" outlineLevel="0" collapsed="false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" hidden="false" customHeight="false" outlineLevel="0" collapsed="false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" hidden="false" customHeight="false" outlineLevel="0" collapsed="false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" hidden="false" customHeight="false" outlineLevel="0" collapsed="false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" hidden="false" customHeight="false" outlineLevel="0" collapsed="false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" hidden="false" customHeight="false" outlineLevel="0" collapsed="false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" hidden="false" customHeight="false" outlineLevel="0" collapsed="false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" hidden="false" customHeight="false" outlineLevel="0" collapsed="false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" hidden="false" customHeight="false" outlineLevel="0" collapsed="false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" hidden="false" customHeight="false" outlineLevel="0" collapsed="false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" hidden="false" customHeight="false" outlineLevel="0" collapsed="false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" hidden="false" customHeight="false" outlineLevel="0" collapsed="false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" hidden="false" customHeight="false" outlineLevel="0" collapsed="false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" hidden="false" customHeight="false" outlineLevel="0" collapsed="false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" hidden="false" customHeight="false" outlineLevel="0" collapsed="false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" hidden="false" customHeight="false" outlineLevel="0" collapsed="false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" hidden="false" customHeight="false" outlineLevel="0" collapsed="false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" hidden="false" customHeight="false" outlineLevel="0" collapsed="false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" hidden="false" customHeight="false" outlineLevel="0" collapsed="false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" hidden="false" customHeight="false" outlineLevel="0" collapsed="false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" hidden="false" customHeight="false" outlineLevel="0" collapsed="false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" hidden="false" customHeight="false" outlineLevel="0" collapsed="false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" hidden="false" customHeight="false" outlineLevel="0" collapsed="false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" hidden="false" customHeight="false" outlineLevel="0" collapsed="false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" hidden="false" customHeight="false" outlineLevel="0" collapsed="false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" hidden="false" customHeight="false" outlineLevel="0" collapsed="false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" hidden="false" customHeight="false" outlineLevel="0" collapsed="false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" hidden="false" customHeight="false" outlineLevel="0" collapsed="false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" hidden="false" customHeight="false" outlineLevel="0" collapsed="false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" hidden="false" customHeight="false" outlineLevel="0" collapsed="false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" hidden="false" customHeight="false" outlineLevel="0" collapsed="false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" hidden="false" customHeight="false" outlineLevel="0" collapsed="false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" hidden="false" customHeight="false" outlineLevel="0" collapsed="false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" hidden="false" customHeight="false" outlineLevel="0" collapsed="false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" hidden="false" customHeight="false" outlineLevel="0" collapsed="false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" hidden="false" customHeight="false" outlineLevel="0" collapsed="false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" hidden="false" customHeight="false" outlineLevel="0" collapsed="false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" hidden="false" customHeight="false" outlineLevel="0" collapsed="false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" hidden="false" customHeight="false" outlineLevel="0" collapsed="false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" hidden="false" customHeight="false" outlineLevel="0" collapsed="false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" hidden="false" customHeight="false" outlineLevel="0" collapsed="false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" hidden="false" customHeight="false" outlineLevel="0" collapsed="false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" hidden="false" customHeight="false" outlineLevel="0" collapsed="false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" hidden="false" customHeight="false" outlineLevel="0" collapsed="false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" hidden="false" customHeight="false" outlineLevel="0" collapsed="false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" hidden="false" customHeight="false" outlineLevel="0" collapsed="false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" hidden="false" customHeight="false" outlineLevel="0" collapsed="false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" hidden="false" customHeight="false" outlineLevel="0" collapsed="false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" hidden="false" customHeight="false" outlineLevel="0" collapsed="false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" hidden="false" customHeight="false" outlineLevel="0" collapsed="false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" hidden="false" customHeight="false" outlineLevel="0" collapsed="false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" hidden="false" customHeight="false" outlineLevel="0" collapsed="false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" hidden="false" customHeight="false" outlineLevel="0" collapsed="false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" hidden="false" customHeight="false" outlineLevel="0" collapsed="false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" hidden="false" customHeight="false" outlineLevel="0" collapsed="false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" hidden="false" customHeight="false" outlineLevel="0" collapsed="false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" hidden="false" customHeight="false" outlineLevel="0" collapsed="false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" hidden="false" customHeight="false" outlineLevel="0" collapsed="false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" hidden="false" customHeight="false" outlineLevel="0" collapsed="false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" hidden="false" customHeight="false" outlineLevel="0" collapsed="false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" hidden="false" customHeight="false" outlineLevel="0" collapsed="false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" hidden="false" customHeight="false" outlineLevel="0" collapsed="false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" hidden="false" customHeight="false" outlineLevel="0" collapsed="false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" hidden="false" customHeight="false" outlineLevel="0" collapsed="false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" hidden="false" customHeight="false" outlineLevel="0" collapsed="false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" hidden="false" customHeight="false" outlineLevel="0" collapsed="false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" hidden="false" customHeight="false" outlineLevel="0" collapsed="false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" hidden="false" customHeight="false" outlineLevel="0" collapsed="false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" hidden="false" customHeight="false" outlineLevel="0" collapsed="false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" hidden="false" customHeight="false" outlineLevel="0" collapsed="false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" hidden="false" customHeight="false" outlineLevel="0" collapsed="false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" hidden="false" customHeight="false" outlineLevel="0" collapsed="false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" hidden="false" customHeight="false" outlineLevel="0" collapsed="false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" hidden="false" customHeight="false" outlineLevel="0" collapsed="false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" hidden="false" customHeight="false" outlineLevel="0" collapsed="false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" hidden="false" customHeight="false" outlineLevel="0" collapsed="false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" hidden="false" customHeight="false" outlineLevel="0" collapsed="false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" hidden="false" customHeight="false" outlineLevel="0" collapsed="false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" hidden="false" customHeight="false" outlineLevel="0" collapsed="false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" hidden="false" customHeight="false" outlineLevel="0" collapsed="false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" hidden="false" customHeight="false" outlineLevel="0" collapsed="false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" hidden="false" customHeight="false" outlineLevel="0" collapsed="false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" hidden="false" customHeight="false" outlineLevel="0" collapsed="false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" hidden="false" customHeight="false" outlineLevel="0" collapsed="false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" hidden="false" customHeight="false" outlineLevel="0" collapsed="false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" hidden="false" customHeight="false" outlineLevel="0" collapsed="false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" hidden="false" customHeight="false" outlineLevel="0" collapsed="false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" hidden="false" customHeight="false" outlineLevel="0" collapsed="false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" hidden="false" customHeight="false" outlineLevel="0" collapsed="false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" hidden="false" customHeight="false" outlineLevel="0" collapsed="false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" hidden="false" customHeight="false" outlineLevel="0" collapsed="false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" hidden="false" customHeight="false" outlineLevel="0" collapsed="false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" hidden="false" customHeight="false" outlineLevel="0" collapsed="false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" hidden="false" customHeight="false" outlineLevel="0" collapsed="false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" hidden="false" customHeight="false" outlineLevel="0" collapsed="false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" hidden="false" customHeight="false" outlineLevel="0" collapsed="false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" hidden="false" customHeight="false" outlineLevel="0" collapsed="false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" hidden="false" customHeight="false" outlineLevel="0" collapsed="false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" hidden="false" customHeight="false" outlineLevel="0" collapsed="false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" hidden="false" customHeight="false" outlineLevel="0" collapsed="false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" hidden="false" customHeight="false" outlineLevel="0" collapsed="false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" hidden="false" customHeight="false" outlineLevel="0" collapsed="false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" hidden="false" customHeight="false" outlineLevel="0" collapsed="false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" hidden="false" customHeight="false" outlineLevel="0" collapsed="false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" hidden="false" customHeight="false" outlineLevel="0" collapsed="false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" hidden="false" customHeight="false" outlineLevel="0" collapsed="false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" hidden="false" customHeight="false" outlineLevel="0" collapsed="false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" hidden="false" customHeight="false" outlineLevel="0" collapsed="false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" hidden="false" customHeight="false" outlineLevel="0" collapsed="false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" hidden="false" customHeight="false" outlineLevel="0" collapsed="false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" hidden="false" customHeight="false" outlineLevel="0" collapsed="false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" hidden="false" customHeight="false" outlineLevel="0" collapsed="false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" hidden="false" customHeight="false" outlineLevel="0" collapsed="false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" hidden="false" customHeight="false" outlineLevel="0" collapsed="false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" hidden="false" customHeight="false" outlineLevel="0" collapsed="false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" hidden="false" customHeight="false" outlineLevel="0" collapsed="false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" hidden="false" customHeight="false" outlineLevel="0" collapsed="false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" hidden="false" customHeight="false" outlineLevel="0" collapsed="false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" hidden="false" customHeight="false" outlineLevel="0" collapsed="false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" hidden="false" customHeight="false" outlineLevel="0" collapsed="false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" hidden="false" customHeight="false" outlineLevel="0" collapsed="false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" hidden="false" customHeight="false" outlineLevel="0" collapsed="false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" hidden="false" customHeight="false" outlineLevel="0" collapsed="false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" hidden="false" customHeight="false" outlineLevel="0" collapsed="false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" hidden="false" customHeight="false" outlineLevel="0" collapsed="false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" hidden="false" customHeight="false" outlineLevel="0" collapsed="false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" hidden="false" customHeight="false" outlineLevel="0" collapsed="false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" hidden="false" customHeight="false" outlineLevel="0" collapsed="false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" hidden="false" customHeight="false" outlineLevel="0" collapsed="false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" hidden="false" customHeight="false" outlineLevel="0" collapsed="false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" hidden="false" customHeight="false" outlineLevel="0" collapsed="false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" hidden="false" customHeight="false" outlineLevel="0" collapsed="false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" hidden="false" customHeight="false" outlineLevel="0" collapsed="false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" hidden="false" customHeight="false" outlineLevel="0" collapsed="false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" hidden="false" customHeight="false" outlineLevel="0" collapsed="false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" hidden="false" customHeight="false" outlineLevel="0" collapsed="false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" hidden="false" customHeight="false" outlineLevel="0" collapsed="false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" hidden="false" customHeight="false" outlineLevel="0" collapsed="false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" hidden="false" customHeight="false" outlineLevel="0" collapsed="false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" hidden="false" customHeight="false" outlineLevel="0" collapsed="false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" hidden="false" customHeight="false" outlineLevel="0" collapsed="false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" hidden="false" customHeight="false" outlineLevel="0" collapsed="false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" hidden="false" customHeight="false" outlineLevel="0" collapsed="false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" hidden="false" customHeight="false" outlineLevel="0" collapsed="false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" hidden="false" customHeight="false" outlineLevel="0" collapsed="false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" hidden="false" customHeight="false" outlineLevel="0" collapsed="false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" hidden="false" customHeight="false" outlineLevel="0" collapsed="false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" hidden="false" customHeight="false" outlineLevel="0" collapsed="false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" hidden="false" customHeight="false" outlineLevel="0" collapsed="false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" hidden="false" customHeight="false" outlineLevel="0" collapsed="false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" hidden="false" customHeight="false" outlineLevel="0" collapsed="false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" hidden="false" customHeight="false" outlineLevel="0" collapsed="false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" hidden="false" customHeight="false" outlineLevel="0" collapsed="false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" hidden="false" customHeight="false" outlineLevel="0" collapsed="false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" hidden="false" customHeight="false" outlineLevel="0" collapsed="false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" hidden="false" customHeight="false" outlineLevel="0" collapsed="false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" hidden="false" customHeight="false" outlineLevel="0" collapsed="false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" hidden="false" customHeight="false" outlineLevel="0" collapsed="false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" hidden="false" customHeight="false" outlineLevel="0" collapsed="false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" hidden="false" customHeight="false" outlineLevel="0" collapsed="false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" hidden="false" customHeight="false" outlineLevel="0" collapsed="false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" hidden="false" customHeight="false" outlineLevel="0" collapsed="false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" hidden="false" customHeight="false" outlineLevel="0" collapsed="false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" hidden="false" customHeight="false" outlineLevel="0" collapsed="false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" hidden="false" customHeight="false" outlineLevel="0" collapsed="false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" hidden="false" customHeight="false" outlineLevel="0" collapsed="false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" hidden="false" customHeight="false" outlineLevel="0" collapsed="false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" hidden="false" customHeight="false" outlineLevel="0" collapsed="false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" hidden="false" customHeight="false" outlineLevel="0" collapsed="false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" hidden="false" customHeight="false" outlineLevel="0" collapsed="false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" hidden="false" customHeight="false" outlineLevel="0" collapsed="false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" hidden="false" customHeight="false" outlineLevel="0" collapsed="false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" hidden="false" customHeight="false" outlineLevel="0" collapsed="false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" hidden="false" customHeight="false" outlineLevel="0" collapsed="false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" hidden="false" customHeight="false" outlineLevel="0" collapsed="false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" hidden="false" customHeight="false" outlineLevel="0" collapsed="false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" hidden="false" customHeight="false" outlineLevel="0" collapsed="false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" hidden="false" customHeight="false" outlineLevel="0" collapsed="false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" hidden="false" customHeight="false" outlineLevel="0" collapsed="false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" hidden="false" customHeight="false" outlineLevel="0" collapsed="false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" hidden="false" customHeight="false" outlineLevel="0" collapsed="false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" hidden="false" customHeight="false" outlineLevel="0" collapsed="false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" hidden="false" customHeight="false" outlineLevel="0" collapsed="false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" hidden="false" customHeight="false" outlineLevel="0" collapsed="false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" hidden="false" customHeight="false" outlineLevel="0" collapsed="false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" hidden="false" customHeight="false" outlineLevel="0" collapsed="false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" hidden="false" customHeight="false" outlineLevel="0" collapsed="false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" hidden="false" customHeight="false" outlineLevel="0" collapsed="false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" hidden="false" customHeight="false" outlineLevel="0" collapsed="false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" hidden="false" customHeight="false" outlineLevel="0" collapsed="false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" hidden="false" customHeight="false" outlineLevel="0" collapsed="false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" hidden="false" customHeight="false" outlineLevel="0" collapsed="false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" hidden="false" customHeight="false" outlineLevel="0" collapsed="false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" hidden="false" customHeight="false" outlineLevel="0" collapsed="false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" hidden="false" customHeight="false" outlineLevel="0" collapsed="false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" hidden="false" customHeight="false" outlineLevel="0" collapsed="false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" hidden="false" customHeight="false" outlineLevel="0" collapsed="false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" hidden="false" customHeight="false" outlineLevel="0" collapsed="false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" hidden="false" customHeight="false" outlineLevel="0" collapsed="false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" hidden="false" customHeight="false" outlineLevel="0" collapsed="false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" hidden="false" customHeight="false" outlineLevel="0" collapsed="false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" hidden="false" customHeight="false" outlineLevel="0" collapsed="false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" hidden="false" customHeight="false" outlineLevel="0" collapsed="false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" hidden="false" customHeight="false" outlineLevel="0" collapsed="false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" hidden="false" customHeight="false" outlineLevel="0" collapsed="false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" hidden="false" customHeight="false" outlineLevel="0" collapsed="false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" hidden="false" customHeight="false" outlineLevel="0" collapsed="false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" hidden="false" customHeight="false" outlineLevel="0" collapsed="false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" hidden="false" customHeight="false" outlineLevel="0" collapsed="false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" hidden="false" customHeight="false" outlineLevel="0" collapsed="false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" hidden="false" customHeight="false" outlineLevel="0" collapsed="false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" hidden="false" customHeight="false" outlineLevel="0" collapsed="false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" hidden="false" customHeight="false" outlineLevel="0" collapsed="false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" hidden="false" customHeight="false" outlineLevel="0" collapsed="false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" hidden="false" customHeight="false" outlineLevel="0" collapsed="false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" hidden="false" customHeight="false" outlineLevel="0" collapsed="false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" hidden="false" customHeight="false" outlineLevel="0" collapsed="false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" hidden="false" customHeight="false" outlineLevel="0" collapsed="false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" hidden="false" customHeight="false" outlineLevel="0" collapsed="false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" hidden="false" customHeight="false" outlineLevel="0" collapsed="false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" hidden="false" customHeight="false" outlineLevel="0" collapsed="false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" hidden="false" customHeight="false" outlineLevel="0" collapsed="false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" hidden="false" customHeight="false" outlineLevel="0" collapsed="false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" hidden="false" customHeight="false" outlineLevel="0" collapsed="false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" hidden="false" customHeight="false" outlineLevel="0" collapsed="false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" hidden="false" customHeight="false" outlineLevel="0" collapsed="false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" hidden="false" customHeight="false" outlineLevel="0" collapsed="false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" hidden="false" customHeight="false" outlineLevel="0" collapsed="false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" hidden="false" customHeight="false" outlineLevel="0" collapsed="false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" hidden="false" customHeight="false" outlineLevel="0" collapsed="false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" hidden="false" customHeight="false" outlineLevel="0" collapsed="false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" hidden="false" customHeight="false" outlineLevel="0" collapsed="false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" hidden="false" customHeight="false" outlineLevel="0" collapsed="false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" hidden="false" customHeight="false" outlineLevel="0" collapsed="false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" hidden="false" customHeight="false" outlineLevel="0" collapsed="false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" hidden="false" customHeight="false" outlineLevel="0" collapsed="false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" hidden="false" customHeight="false" outlineLevel="0" collapsed="false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" hidden="false" customHeight="false" outlineLevel="0" collapsed="false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" hidden="false" customHeight="false" outlineLevel="0" collapsed="false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" hidden="false" customHeight="false" outlineLevel="0" collapsed="false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" hidden="false" customHeight="false" outlineLevel="0" collapsed="false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" hidden="false" customHeight="false" outlineLevel="0" collapsed="false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" hidden="false" customHeight="false" outlineLevel="0" collapsed="false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" hidden="false" customHeight="false" outlineLevel="0" collapsed="false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" hidden="false" customHeight="false" outlineLevel="0" collapsed="false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" hidden="false" customHeight="false" outlineLevel="0" collapsed="false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" hidden="false" customHeight="false" outlineLevel="0" collapsed="false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</sheetData>
  <mergeCells count="1"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2" min="2" style="0" width="4.75"/>
    <col collapsed="false" customWidth="true" hidden="false" outlineLevel="0" max="3" min="3" style="0" width="35.38"/>
    <col collapsed="false" customWidth="true" hidden="false" outlineLevel="0" max="4" min="4" style="0" width="28.38"/>
    <col collapsed="false" customWidth="true" hidden="false" outlineLevel="0" max="5" min="5" style="0" width="5.13"/>
    <col collapsed="false" customWidth="true" hidden="false" outlineLevel="0" max="6" min="6" style="0" width="17.25"/>
    <col collapsed="false" customWidth="true" hidden="false" outlineLevel="0" max="7" min="7" style="0" width="15.5"/>
    <col collapsed="false" customWidth="true" hidden="false" outlineLevel="0" max="8" min="8" style="0" width="8.63"/>
    <col collapsed="false" customWidth="true" hidden="false" outlineLevel="0" max="9" min="9" style="0" width="5.63"/>
    <col collapsed="false" customWidth="true" hidden="false" outlineLevel="0" max="10" min="10" style="0" width="5.25"/>
    <col collapsed="false" customWidth="true" hidden="false" outlineLevel="0" max="11" min="11" style="0" width="8.38"/>
  </cols>
  <sheetData>
    <row r="1" customFormat="false" ht="15" hidden="false" customHeight="false" outlineLevel="0" collapsed="false">
      <c r="A1" s="2"/>
      <c r="B1" s="9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10" t="s">
        <v>28</v>
      </c>
      <c r="C2" s="2"/>
      <c r="D2" s="2"/>
      <c r="E2" s="11" t="s">
        <v>3</v>
      </c>
      <c r="F2" s="11" t="s">
        <v>29</v>
      </c>
      <c r="G2" s="11" t="s">
        <v>6</v>
      </c>
      <c r="H2" s="11"/>
      <c r="I2" s="11" t="s">
        <v>15</v>
      </c>
      <c r="J2" s="11" t="s">
        <v>17</v>
      </c>
      <c r="K2" s="12" t="s">
        <v>16</v>
      </c>
      <c r="L2" s="2"/>
    </row>
    <row r="3" customFormat="false" ht="15" hidden="false" customHeight="false" outlineLevel="0" collapsed="false">
      <c r="A3" s="2"/>
      <c r="B3" s="9"/>
      <c r="C3" s="2"/>
      <c r="D3" s="2"/>
      <c r="E3" s="11"/>
      <c r="F3" s="11" t="s">
        <v>30</v>
      </c>
      <c r="G3" s="11"/>
      <c r="H3" s="11"/>
      <c r="I3" s="11" t="s">
        <v>31</v>
      </c>
      <c r="J3" s="11" t="s">
        <v>32</v>
      </c>
      <c r="K3" s="2"/>
      <c r="L3" s="2"/>
    </row>
    <row r="4" customFormat="false" ht="15" hidden="false" customHeight="false" outlineLevel="0" collapsed="false">
      <c r="A4" s="13"/>
      <c r="B4" s="14"/>
      <c r="C4" s="14"/>
      <c r="D4" s="14"/>
      <c r="E4" s="11" t="n">
        <f aca="false">SUM(E6:E51)</f>
        <v>17</v>
      </c>
      <c r="F4" s="11" t="n">
        <f aca="false">SUM(F6:F51)</f>
        <v>55</v>
      </c>
      <c r="G4" s="11" t="n">
        <f aca="false">SUM(G6:G51)</f>
        <v>31</v>
      </c>
      <c r="H4" s="11" t="n">
        <f aca="false">SUM(H6:H51)</f>
        <v>18</v>
      </c>
      <c r="I4" s="11" t="n">
        <f aca="false">SUM(I6:I51)</f>
        <v>60</v>
      </c>
      <c r="J4" s="11" t="n">
        <f aca="false">SUM(J6:J51)</f>
        <v>46</v>
      </c>
      <c r="K4" s="11" t="n">
        <f aca="false">SUM(K6:K51)</f>
        <v>17</v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5" hidden="false" customHeight="false" outlineLevel="0" collapsed="false">
      <c r="A5" s="13"/>
      <c r="B5" s="16" t="s">
        <v>33</v>
      </c>
      <c r="C5" s="11" t="s">
        <v>34</v>
      </c>
      <c r="D5" s="11" t="s">
        <v>35</v>
      </c>
      <c r="E5" s="11" t="s">
        <v>36</v>
      </c>
      <c r="F5" s="17" t="s">
        <v>37</v>
      </c>
      <c r="G5" s="11" t="s">
        <v>38</v>
      </c>
      <c r="H5" s="11" t="s">
        <v>39</v>
      </c>
      <c r="I5" s="11" t="s">
        <v>31</v>
      </c>
      <c r="J5" s="11" t="s">
        <v>32</v>
      </c>
      <c r="K5" s="11" t="s">
        <v>40</v>
      </c>
      <c r="L5" s="11" t="s">
        <v>14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false" outlineLevel="0" collapsed="false">
      <c r="A6" s="18" t="s">
        <v>41</v>
      </c>
      <c r="B6" s="19" t="n">
        <v>1</v>
      </c>
      <c r="C6" s="20" t="s">
        <v>42</v>
      </c>
      <c r="D6" s="21" t="s">
        <v>43</v>
      </c>
      <c r="E6" s="22" t="n">
        <f aca="false">COUNTIFS('Observations '!$G:$G,"*"&amp;C6&amp;"*",'Observations '!$H:$H,IF(D6="","",D6),'Observations '!$D:$D,$E$2)</f>
        <v>1</v>
      </c>
      <c r="F6" s="23" t="n">
        <f aca="false">COUNTIFS('Observations '!$G:$G,"*"&amp;C6&amp;"*",'Observations '!$H:$H,IF(D6="","",D6),'Observations '!$D:$D,$F$2)+COUNTIFS('Observations '!$G:$G,"*"&amp;C6&amp;"*",'Observations '!$H:$H,IF(D6="","",D6),'Observations '!$D:$D,$F$3)</f>
        <v>0</v>
      </c>
      <c r="G6" s="22" t="n">
        <f aca="false">COUNTIFS('Observations '!$G:$G,"*"&amp;C6&amp;"*",'Observations '!$H:$H,IF(D6="","",D6),'Observations '!$D:$D,$G$2)</f>
        <v>0</v>
      </c>
      <c r="H6" s="22" t="n">
        <f aca="false">L6-E6-F6-G6</f>
        <v>1</v>
      </c>
      <c r="I6" s="22" t="n">
        <f aca="false">COUNTIFS('Observations '!$G:$G,"*"&amp;C6&amp;"*",'Observations '!$H:$H,IF(D6="","",D6),'Observations '!$E:$E,$I$2)+COUNTIFS('Observations '!$G:$G,"*"&amp;C6&amp;"*",'Observations '!$H:$H,IF(D6="","",D6),'Observations '!$E:$E,$I$3)</f>
        <v>0</v>
      </c>
      <c r="J6" s="22" t="n">
        <f aca="false">COUNTIFS('Observations '!$G:$G,"*"&amp;C6&amp;"*",'Observations '!$H:$H,IF(D6="","",D6),'Observations '!$E:$E,$J$2)+COUNTIFS('Observations '!$G:$G,"*"&amp;C6&amp;"*",'Observations '!$H:$H,IF(D6="","",D6),'Observations '!$E:$E,$J$3)</f>
        <v>2</v>
      </c>
      <c r="K6" s="22" t="n">
        <f aca="false">COUNTIFS('Observations '!$G:$G,"*"&amp;C6&amp;"*",'Observations '!$H:$H,IF(D6="","",D6),'Observations '!$E:$E,$K$2)</f>
        <v>0</v>
      </c>
      <c r="L6" s="24" t="n">
        <f aca="false">SUM(I6:K6)</f>
        <v>2</v>
      </c>
    </row>
    <row r="7" customFormat="false" ht="15" hidden="false" customHeight="false" outlineLevel="0" collapsed="false">
      <c r="A7" s="18" t="s">
        <v>41</v>
      </c>
      <c r="B7" s="19" t="n">
        <v>2</v>
      </c>
      <c r="C7" s="20" t="s">
        <v>42</v>
      </c>
      <c r="D7" s="21" t="s">
        <v>44</v>
      </c>
      <c r="E7" s="22" t="n">
        <f aca="false">COUNTIFS('Observations '!$G:$G,"*"&amp;C7&amp;"*",'Observations '!$H:$H,IF(D7="","",D7),'Observations '!$D:$D,$E$2)</f>
        <v>1</v>
      </c>
      <c r="F7" s="23" t="n">
        <f aca="false">COUNTIFS('Observations '!$G:$G,"*"&amp;C7&amp;"*",'Observations '!$H:$H,IF(D7="","",D7),'Observations '!$D:$D,$F$2)+COUNTIFS('Observations '!$G:$G,"*"&amp;C7&amp;"*",'Observations '!$H:$H,IF(D7="","",D7),'Observations '!$D:$D,$F$3)</f>
        <v>0</v>
      </c>
      <c r="G7" s="22" t="n">
        <f aca="false">COUNTIFS('Observations '!$G:$G,"*"&amp;C7&amp;"*",'Observations '!$H:$H,IF(D7="","",D7),'Observations '!$D:$D,$G$2)</f>
        <v>0</v>
      </c>
      <c r="H7" s="22" t="n">
        <f aca="false">L7-E7-F7-G7</f>
        <v>1</v>
      </c>
      <c r="I7" s="22" t="n">
        <f aca="false">COUNTIFS('Observations '!$G:$G,"*"&amp;C7&amp;"*",'Observations '!$H:$H,IF(D7="","",D7),'Observations '!$E:$E,$I$2)+COUNTIFS('Observations '!$G:$G,"*"&amp;C7&amp;"*",'Observations '!$H:$H,IF(D7="","",D7),'Observations '!$E:$E,$I$3)</f>
        <v>2</v>
      </c>
      <c r="J7" s="22" t="n">
        <f aca="false">COUNTIFS('Observations '!$G:$G,"*"&amp;C7&amp;"*",'Observations '!$H:$H,IF(D7="","",D7),'Observations '!$E:$E,$J$2)+COUNTIFS('Observations '!$G:$G,"*"&amp;C7&amp;"*",'Observations '!$H:$H,IF(D7="","",D7),'Observations '!$E:$E,$J$3)</f>
        <v>0</v>
      </c>
      <c r="K7" s="22" t="n">
        <f aca="false">COUNTIFS('Observations '!$G:$G,"*"&amp;C7&amp;"*",'Observations '!$H:$H,IF(D7="","",D7),'Observations '!$E:$E,$K$2)</f>
        <v>0</v>
      </c>
      <c r="L7" s="24" t="n">
        <f aca="false">SUM(I7:K7)</f>
        <v>2</v>
      </c>
    </row>
    <row r="8" customFormat="false" ht="15" hidden="false" customHeight="false" outlineLevel="0" collapsed="false">
      <c r="A8" s="18" t="s">
        <v>41</v>
      </c>
      <c r="B8" s="19" t="n">
        <v>3</v>
      </c>
      <c r="C8" s="20" t="s">
        <v>42</v>
      </c>
      <c r="D8" s="21" t="s">
        <v>45</v>
      </c>
      <c r="E8" s="22" t="n">
        <f aca="false">COUNTIFS('Observations '!$G:$G,"*"&amp;C8&amp;"*",'Observations '!$H:$H,IF(D8="","",D8),'Observations '!$D:$D,$E$2)</f>
        <v>1</v>
      </c>
      <c r="F8" s="23" t="n">
        <f aca="false">COUNTIFS('Observations '!$G:$G,"*"&amp;C8&amp;"*",'Observations '!$H:$H,IF(D8="","",D8),'Observations '!$D:$D,$F$2)+COUNTIFS('Observations '!$G:$G,"*"&amp;C8&amp;"*",'Observations '!$H:$H,IF(D8="","",D8),'Observations '!$D:$D,$F$3)</f>
        <v>1</v>
      </c>
      <c r="G8" s="22" t="n">
        <f aca="false">COUNTIFS('Observations '!$G:$G,"*"&amp;C8&amp;"*",'Observations '!$H:$H,IF(D8="","",D8),'Observations '!$D:$D,$G$2)</f>
        <v>1</v>
      </c>
      <c r="H8" s="22" t="n">
        <f aca="false">L8-E8-F8-G8</f>
        <v>1</v>
      </c>
      <c r="I8" s="22" t="n">
        <f aca="false">COUNTIFS('Observations '!$G:$G,"*"&amp;C8&amp;"*",'Observations '!$H:$H,IF(D8="","",D8),'Observations '!$E:$E,$I$2)+COUNTIFS('Observations '!$G:$G,"*"&amp;C8&amp;"*",'Observations '!$H:$H,IF(D8="","",D8),'Observations '!$E:$E,$I$3)</f>
        <v>2</v>
      </c>
      <c r="J8" s="22" t="n">
        <f aca="false">COUNTIFS('Observations '!$G:$G,"*"&amp;C8&amp;"*",'Observations '!$H:$H,IF(D8="","",D8),'Observations '!$E:$E,$J$2)+COUNTIFS('Observations '!$G:$G,"*"&amp;C8&amp;"*",'Observations '!$H:$H,IF(D8="","",D8),'Observations '!$E:$E,$J$3)</f>
        <v>2</v>
      </c>
      <c r="K8" s="22" t="n">
        <f aca="false">COUNTIFS('Observations '!$G:$G,"*"&amp;C8&amp;"*",'Observations '!$H:$H,IF(D8="","",D8),'Observations '!$E:$E,$K$2)</f>
        <v>0</v>
      </c>
      <c r="L8" s="24" t="n">
        <f aca="false">SUM(I8:K8)</f>
        <v>4</v>
      </c>
    </row>
    <row r="9" customFormat="false" ht="15" hidden="false" customHeight="false" outlineLevel="0" collapsed="false">
      <c r="A9" s="18" t="s">
        <v>46</v>
      </c>
      <c r="B9" s="19" t="n">
        <v>4</v>
      </c>
      <c r="C9" s="20" t="s">
        <v>47</v>
      </c>
      <c r="D9" s="21" t="s">
        <v>48</v>
      </c>
      <c r="E9" s="22" t="n">
        <f aca="false">COUNTIFS('Observations '!$G:$G,"*"&amp;C9&amp;"*",'Observations '!$H:$H,IF(D9="","",D9),'Observations '!$D:$D,$E$2)</f>
        <v>1</v>
      </c>
      <c r="F9" s="23" t="n">
        <f aca="false">COUNTIFS('Observations '!$G:$G,"*"&amp;C9&amp;"*",'Observations '!$H:$H,IF(D9="","",D9),'Observations '!$D:$D,$F$2)+COUNTIFS('Observations '!$G:$G,"*"&amp;C9&amp;"*",'Observations '!$H:$H,IF(D9="","",D9),'Observations '!$D:$D,$F$3)</f>
        <v>0</v>
      </c>
      <c r="G9" s="22" t="n">
        <f aca="false">COUNTIFS('Observations '!$G:$G,"*"&amp;C9&amp;"*",'Observations '!$H:$H,IF(D9="","",D9),'Observations '!$D:$D,$G$2)</f>
        <v>0</v>
      </c>
      <c r="H9" s="22" t="n">
        <f aca="false">L9-E9-F9-G9</f>
        <v>1</v>
      </c>
      <c r="I9" s="22" t="n">
        <f aca="false">COUNTIFS('Observations '!$G:$G,"*"&amp;C9&amp;"*",'Observations '!$H:$H,IF(D9="","",D9),'Observations '!$E:$E,$I$2)+COUNTIFS('Observations '!$G:$G,"*"&amp;C9&amp;"*",'Observations '!$H:$H,IF(D9="","",D9),'Observations '!$E:$E,$I$3)</f>
        <v>2</v>
      </c>
      <c r="J9" s="22" t="n">
        <f aca="false">COUNTIFS('Observations '!$G:$G,"*"&amp;C9&amp;"*",'Observations '!$H:$H,IF(D9="","",D9),'Observations '!$E:$E,$J$2)+COUNTIFS('Observations '!$G:$G,"*"&amp;C9&amp;"*",'Observations '!$H:$H,IF(D9="","",D9),'Observations '!$E:$E,$J$3)</f>
        <v>0</v>
      </c>
      <c r="K9" s="22" t="n">
        <f aca="false">COUNTIFS('Observations '!$G:$G,"*"&amp;C9&amp;"*",'Observations '!$H:$H,IF(D9="","",D9),'Observations '!$E:$E,$K$2)</f>
        <v>0</v>
      </c>
      <c r="L9" s="24" t="n">
        <f aca="false">SUM(I9:K9)</f>
        <v>2</v>
      </c>
    </row>
    <row r="10" customFormat="false" ht="15" hidden="false" customHeight="false" outlineLevel="0" collapsed="false">
      <c r="A10" s="18" t="s">
        <v>46</v>
      </c>
      <c r="B10" s="19" t="n">
        <v>5</v>
      </c>
      <c r="C10" s="20" t="s">
        <v>47</v>
      </c>
      <c r="D10" s="21" t="s">
        <v>49</v>
      </c>
      <c r="E10" s="22" t="n">
        <f aca="false">COUNTIFS('Observations '!$G:$G,"*"&amp;C10&amp;"*",'Observations '!$H:$H,IF(D10="","",D10),'Observations '!$D:$D,$E$2)</f>
        <v>1</v>
      </c>
      <c r="F10" s="23" t="n">
        <f aca="false">COUNTIFS('Observations '!$G:$G,"*"&amp;C10&amp;"*",'Observations '!$H:$H,IF(D10="","",D10),'Observations '!$D:$D,$F$2)+COUNTIFS('Observations '!$G:$G,"*"&amp;C10&amp;"*",'Observations '!$H:$H,IF(D10="","",D10),'Observations '!$D:$D,$F$3)</f>
        <v>0</v>
      </c>
      <c r="G10" s="22" t="n">
        <f aca="false">COUNTIFS('Observations '!$G:$G,"*"&amp;C10&amp;"*",'Observations '!$H:$H,IF(D10="","",D10),'Observations '!$D:$D,$G$2)</f>
        <v>0</v>
      </c>
      <c r="H10" s="22" t="n">
        <f aca="false">L10-E10-F10-G10</f>
        <v>1</v>
      </c>
      <c r="I10" s="22" t="n">
        <f aca="false">COUNTIFS('Observations '!$G:$G,"*"&amp;C10&amp;"*",'Observations '!$H:$H,IF(D10="","",D10),'Observations '!$E:$E,$I$2)+COUNTIFS('Observations '!$G:$G,"*"&amp;C10&amp;"*",'Observations '!$H:$H,IF(D10="","",D10),'Observations '!$E:$E,$I$3)</f>
        <v>2</v>
      </c>
      <c r="J10" s="22" t="n">
        <f aca="false">COUNTIFS('Observations '!$G:$G,"*"&amp;C10&amp;"*",'Observations '!$H:$H,IF(D10="","",D10),'Observations '!$E:$E,$J$2)+COUNTIFS('Observations '!$G:$G,"*"&amp;C10&amp;"*",'Observations '!$H:$H,IF(D10="","",D10),'Observations '!$E:$E,$J$3)</f>
        <v>0</v>
      </c>
      <c r="K10" s="22" t="n">
        <f aca="false">COUNTIFS('Observations '!$G:$G,"*"&amp;C10&amp;"*",'Observations '!$H:$H,IF(D10="","",D10),'Observations '!$E:$E,$K$2)</f>
        <v>0</v>
      </c>
      <c r="L10" s="24" t="n">
        <f aca="false">SUM(I10:K10)</f>
        <v>2</v>
      </c>
    </row>
    <row r="11" customFormat="false" ht="15" hidden="false" customHeight="false" outlineLevel="0" collapsed="false">
      <c r="A11" s="18" t="s">
        <v>46</v>
      </c>
      <c r="B11" s="19" t="n">
        <v>6</v>
      </c>
      <c r="C11" s="20" t="s">
        <v>47</v>
      </c>
      <c r="D11" s="21" t="s">
        <v>50</v>
      </c>
      <c r="E11" s="22" t="n">
        <f aca="false">COUNTIFS('Observations '!$G:$G,"*"&amp;C11&amp;"*",'Observations '!$H:$H,IF(D11="","",D11),'Observations '!$D:$D,$E$2)</f>
        <v>1</v>
      </c>
      <c r="F11" s="23" t="n">
        <f aca="false">COUNTIFS('Observations '!$G:$G,"*"&amp;C11&amp;"*",'Observations '!$H:$H,IF(D11="","",D11),'Observations '!$D:$D,$F$2)+COUNTIFS('Observations '!$G:$G,"*"&amp;C11&amp;"*",'Observations '!$H:$H,IF(D11="","",D11),'Observations '!$D:$D,$F$3)</f>
        <v>0</v>
      </c>
      <c r="G11" s="22" t="n">
        <f aca="false">COUNTIFS('Observations '!$G:$G,"*"&amp;C11&amp;"*",'Observations '!$H:$H,IF(D11="","",D11),'Observations '!$D:$D,$G$2)</f>
        <v>0</v>
      </c>
      <c r="H11" s="22" t="n">
        <f aca="false">L11-E11-F11-G11</f>
        <v>1</v>
      </c>
      <c r="I11" s="22" t="n">
        <f aca="false">COUNTIFS('Observations '!$G:$G,"*"&amp;C11&amp;"*",'Observations '!$H:$H,IF(D11="","",D11),'Observations '!$E:$E,$I$2)+COUNTIFS('Observations '!$G:$G,"*"&amp;C11&amp;"*",'Observations '!$H:$H,IF(D11="","",D11),'Observations '!$E:$E,$I$3)</f>
        <v>2</v>
      </c>
      <c r="J11" s="22" t="n">
        <f aca="false">COUNTIFS('Observations '!$G:$G,"*"&amp;C11&amp;"*",'Observations '!$H:$H,IF(D11="","",D11),'Observations '!$E:$E,$J$2)+COUNTIFS('Observations '!$G:$G,"*"&amp;C11&amp;"*",'Observations '!$H:$H,IF(D11="","",D11),'Observations '!$E:$E,$J$3)</f>
        <v>0</v>
      </c>
      <c r="K11" s="22" t="n">
        <f aca="false">COUNTIFS('Observations '!$G:$G,"*"&amp;C11&amp;"*",'Observations '!$H:$H,IF(D11="","",D11),'Observations '!$E:$E,$K$2)</f>
        <v>0</v>
      </c>
      <c r="L11" s="24" t="n">
        <f aca="false">SUM(I11:K11)</f>
        <v>2</v>
      </c>
    </row>
    <row r="12" customFormat="false" ht="15" hidden="false" customHeight="false" outlineLevel="0" collapsed="false">
      <c r="A12" s="18" t="s">
        <v>46</v>
      </c>
      <c r="B12" s="19" t="n">
        <v>7</v>
      </c>
      <c r="C12" s="20" t="s">
        <v>47</v>
      </c>
      <c r="D12" s="21" t="s">
        <v>51</v>
      </c>
      <c r="E12" s="22" t="n">
        <f aca="false">COUNTIFS('Observations '!$G:$G,"*"&amp;C12&amp;"*",'Observations '!$H:$H,IF(D12="","",D12),'Observations '!$D:$D,$E$2)</f>
        <v>1</v>
      </c>
      <c r="F12" s="23" t="n">
        <f aca="false">COUNTIFS('Observations '!$G:$G,"*"&amp;C12&amp;"*",'Observations '!$H:$H,IF(D12="","",D12),'Observations '!$D:$D,$F$2)+COUNTIFS('Observations '!$G:$G,"*"&amp;C12&amp;"*",'Observations '!$H:$H,IF(D12="","",D12),'Observations '!$D:$D,$F$3)</f>
        <v>0</v>
      </c>
      <c r="G12" s="22" t="n">
        <f aca="false">COUNTIFS('Observations '!$G:$G,"*"&amp;C12&amp;"*",'Observations '!$H:$H,IF(D12="","",D12),'Observations '!$D:$D,$G$2)</f>
        <v>0</v>
      </c>
      <c r="H12" s="22" t="n">
        <f aca="false">L12-E12-F12-G12</f>
        <v>1</v>
      </c>
      <c r="I12" s="22" t="n">
        <f aca="false">COUNTIFS('Observations '!$G:$G,"*"&amp;C12&amp;"*",'Observations '!$H:$H,IF(D12="","",D12),'Observations '!$E:$E,$I$2)+COUNTIFS('Observations '!$G:$G,"*"&amp;C12&amp;"*",'Observations '!$H:$H,IF(D12="","",D12),'Observations '!$E:$E,$I$3)</f>
        <v>2</v>
      </c>
      <c r="J12" s="22" t="n">
        <f aca="false">COUNTIFS('Observations '!$G:$G,"*"&amp;C12&amp;"*",'Observations '!$H:$H,IF(D12="","",D12),'Observations '!$E:$E,$J$2)+COUNTIFS('Observations '!$G:$G,"*"&amp;C12&amp;"*",'Observations '!$H:$H,IF(D12="","",D12),'Observations '!$E:$E,$J$3)</f>
        <v>0</v>
      </c>
      <c r="K12" s="22" t="n">
        <f aca="false">COUNTIFS('Observations '!$G:$G,"*"&amp;C12&amp;"*",'Observations '!$H:$H,IF(D12="","",D12),'Observations '!$E:$E,$K$2)</f>
        <v>0</v>
      </c>
      <c r="L12" s="24" t="n">
        <f aca="false">SUM(I12:K12)</f>
        <v>2</v>
      </c>
    </row>
    <row r="13" customFormat="false" ht="15" hidden="false" customHeight="false" outlineLevel="0" collapsed="false">
      <c r="A13" s="18" t="s">
        <v>52</v>
      </c>
      <c r="B13" s="19" t="n">
        <v>8</v>
      </c>
      <c r="C13" s="20" t="s">
        <v>53</v>
      </c>
      <c r="D13" s="21" t="s">
        <v>54</v>
      </c>
      <c r="E13" s="22" t="n">
        <f aca="false">COUNTIFS('Observations '!$G:$G,"*"&amp;C13&amp;"*",'Observations '!$H:$H,IF(D13="","",D13),'Observations '!$D:$D,$E$2)</f>
        <v>1</v>
      </c>
      <c r="F13" s="23" t="n">
        <f aca="false">COUNTIFS('Observations '!$G:$G,"*"&amp;C13&amp;"*",'Observations '!$H:$H,IF(D13="","",D13),'Observations '!$D:$D,$F$2)+COUNTIFS('Observations '!$G:$G,"*"&amp;C13&amp;"*",'Observations '!$H:$H,IF(D13="","",D13),'Observations '!$D:$D,$F$3)</f>
        <v>0</v>
      </c>
      <c r="G13" s="22" t="n">
        <f aca="false">COUNTIFS('Observations '!$G:$G,"*"&amp;C13&amp;"*",'Observations '!$H:$H,IF(D13="","",D13),'Observations '!$D:$D,$G$2)</f>
        <v>0</v>
      </c>
      <c r="H13" s="22" t="n">
        <f aca="false">L13-E13-F13-G13</f>
        <v>1</v>
      </c>
      <c r="I13" s="22" t="n">
        <f aca="false">COUNTIFS('Observations '!$G:$G,"*"&amp;C13&amp;"*",'Observations '!$H:$H,IF(D13="","",D13),'Observations '!$E:$E,$I$2)+COUNTIFS('Observations '!$G:$G,"*"&amp;C13&amp;"*",'Observations '!$H:$H,IF(D13="","",D13),'Observations '!$E:$E,$I$3)</f>
        <v>2</v>
      </c>
      <c r="J13" s="22" t="n">
        <f aca="false">COUNTIFS('Observations '!$G:$G,"*"&amp;C13&amp;"*",'Observations '!$H:$H,IF(D13="","",D13),'Observations '!$E:$E,$J$2)+COUNTIFS('Observations '!$G:$G,"*"&amp;C13&amp;"*",'Observations '!$H:$H,IF(D13="","",D13),'Observations '!$E:$E,$J$3)</f>
        <v>0</v>
      </c>
      <c r="K13" s="22" t="n">
        <f aca="false">COUNTIFS('Observations '!$G:$G,"*"&amp;C13&amp;"*",'Observations '!$H:$H,IF(D13="","",D13),'Observations '!$E:$E,$K$2)</f>
        <v>0</v>
      </c>
      <c r="L13" s="24" t="n">
        <f aca="false">SUM(I13:K13)</f>
        <v>2</v>
      </c>
    </row>
    <row r="14" customFormat="false" ht="15" hidden="false" customHeight="false" outlineLevel="0" collapsed="false">
      <c r="A14" s="18" t="s">
        <v>55</v>
      </c>
      <c r="B14" s="19" t="n">
        <v>9</v>
      </c>
      <c r="C14" s="20" t="s">
        <v>56</v>
      </c>
      <c r="D14" s="21" t="s">
        <v>57</v>
      </c>
      <c r="E14" s="22" t="n">
        <f aca="false">COUNTIFS('Observations '!$G:$G,"*"&amp;C14&amp;"*",'Observations '!$H:$H,IF(D14="","",D14),'Observations '!$D:$D,$E$2)</f>
        <v>1</v>
      </c>
      <c r="F14" s="23" t="n">
        <f aca="false">COUNTIFS('Observations '!$G:$G,"*"&amp;C14&amp;"*",'Observations '!$H:$H,IF(D14="","",D14),'Observations '!$D:$D,$F$2)+COUNTIFS('Observations '!$G:$G,"*"&amp;C14&amp;"*",'Observations '!$H:$H,IF(D14="","",D14),'Observations '!$D:$D,$F$3)</f>
        <v>0</v>
      </c>
      <c r="G14" s="22" t="n">
        <f aca="false">COUNTIFS('Observations '!$G:$G,"*"&amp;C14&amp;"*",'Observations '!$H:$H,IF(D14="","",D14),'Observations '!$D:$D,$G$2)</f>
        <v>0</v>
      </c>
      <c r="H14" s="22" t="n">
        <f aca="false">L14-E14-F14-G14</f>
        <v>1</v>
      </c>
      <c r="I14" s="22" t="n">
        <f aca="false">COUNTIFS('Observations '!$G:$G,"*"&amp;C14&amp;"*",'Observations '!$H:$H,IF(D14="","",D14),'Observations '!$E:$E,$I$2)+COUNTIFS('Observations '!$G:$G,"*"&amp;C14&amp;"*",'Observations '!$H:$H,IF(D14="","",D14),'Observations '!$E:$E,$I$3)</f>
        <v>2</v>
      </c>
      <c r="J14" s="22" t="n">
        <f aca="false">COUNTIFS('Observations '!$G:$G,"*"&amp;C14&amp;"*",'Observations '!$H:$H,IF(D14="","",D14),'Observations '!$E:$E,$J$2)+COUNTIFS('Observations '!$G:$G,"*"&amp;C14&amp;"*",'Observations '!$H:$H,IF(D14="","",D14),'Observations '!$E:$E,$J$3)</f>
        <v>0</v>
      </c>
      <c r="K14" s="22" t="n">
        <f aca="false">COUNTIFS('Observations '!$G:$G,"*"&amp;C14&amp;"*",'Observations '!$H:$H,IF(D14="","",D14),'Observations '!$E:$E,$K$2)</f>
        <v>0</v>
      </c>
      <c r="L14" s="24" t="n">
        <f aca="false">SUM(I14:K14)</f>
        <v>2</v>
      </c>
    </row>
    <row r="15" customFormat="false" ht="15" hidden="false" customHeight="false" outlineLevel="0" collapsed="false">
      <c r="A15" s="2"/>
      <c r="B15" s="19" t="n">
        <v>10</v>
      </c>
      <c r="C15" s="20" t="s">
        <v>56</v>
      </c>
      <c r="D15" s="21" t="s">
        <v>58</v>
      </c>
      <c r="E15" s="22" t="n">
        <f aca="false">COUNTIFS('Observations '!$G:$G,"*"&amp;C15&amp;"*",'Observations '!$H:$H,IF(D15="","",D15),'Observations '!$D:$D,$E$2)</f>
        <v>1</v>
      </c>
      <c r="F15" s="23" t="n">
        <f aca="false">COUNTIFS('Observations '!$G:$G,"*"&amp;C15&amp;"*",'Observations '!$H:$H,IF(D15="","",D15),'Observations '!$D:$D,$F$2)+COUNTIFS('Observations '!$G:$G,"*"&amp;C15&amp;"*",'Observations '!$H:$H,IF(D15="","",D15),'Observations '!$D:$D,$F$3)</f>
        <v>0</v>
      </c>
      <c r="G15" s="22" t="n">
        <f aca="false">COUNTIFS('Observations '!$G:$G,"*"&amp;C15&amp;"*",'Observations '!$H:$H,IF(D15="","",D15),'Observations '!$D:$D,$G$2)</f>
        <v>0</v>
      </c>
      <c r="H15" s="22" t="n">
        <f aca="false">L15-E15-F15-G15</f>
        <v>1</v>
      </c>
      <c r="I15" s="22" t="n">
        <f aca="false">COUNTIFS('Observations '!$G:$G,"*"&amp;C15&amp;"*",'Observations '!$H:$H,IF(D15="","",D15),'Observations '!$E:$E,$I$2)+COUNTIFS('Observations '!$G:$G,"*"&amp;C15&amp;"*",'Observations '!$H:$H,IF(D15="","",D15),'Observations '!$E:$E,$I$3)</f>
        <v>2</v>
      </c>
      <c r="J15" s="22" t="n">
        <f aca="false">COUNTIFS('Observations '!$G:$G,"*"&amp;C15&amp;"*",'Observations '!$H:$H,IF(D15="","",D15),'Observations '!$E:$E,$J$2)+COUNTIFS('Observations '!$G:$G,"*"&amp;C15&amp;"*",'Observations '!$H:$H,IF(D15="","",D15),'Observations '!$E:$E,$J$3)</f>
        <v>0</v>
      </c>
      <c r="K15" s="22" t="n">
        <f aca="false">COUNTIFS('Observations '!$G:$G,"*"&amp;C15&amp;"*",'Observations '!$H:$H,IF(D15="","",D15),'Observations '!$E:$E,$K$2)</f>
        <v>0</v>
      </c>
      <c r="L15" s="24" t="n">
        <f aca="false">SUM(I15:K15)</f>
        <v>2</v>
      </c>
    </row>
    <row r="16" customFormat="false" ht="15" hidden="false" customHeight="false" outlineLevel="0" collapsed="false">
      <c r="A16" s="18" t="s">
        <v>59</v>
      </c>
      <c r="B16" s="19" t="n">
        <v>11</v>
      </c>
      <c r="C16" s="20" t="s">
        <v>56</v>
      </c>
      <c r="D16" s="21" t="s">
        <v>60</v>
      </c>
      <c r="E16" s="22" t="n">
        <f aca="false">COUNTIFS('Observations '!$G:$G,"*"&amp;C16&amp;"*",'Observations '!$H:$H,IF(D16="","",D16),'Observations '!$D:$D,$E$2)</f>
        <v>1</v>
      </c>
      <c r="F16" s="23" t="n">
        <f aca="false">COUNTIFS('Observations '!$G:$G,"*"&amp;C16&amp;"*",'Observations '!$H:$H,IF(D16="","",D16),'Observations '!$D:$D,$F$2)+COUNTIFS('Observations '!$G:$G,"*"&amp;C16&amp;"*",'Observations '!$H:$H,IF(D16="","",D16),'Observations '!$D:$D,$F$3)</f>
        <v>0</v>
      </c>
      <c r="G16" s="22" t="n">
        <f aca="false">COUNTIFS('Observations '!$G:$G,"*"&amp;C16&amp;"*",'Observations '!$H:$H,IF(D16="","",D16),'Observations '!$D:$D,$G$2)</f>
        <v>0</v>
      </c>
      <c r="H16" s="22" t="n">
        <f aca="false">L16-E16-F16-G16</f>
        <v>1</v>
      </c>
      <c r="I16" s="22" t="n">
        <f aca="false">COUNTIFS('Observations '!$G:$G,"*"&amp;C16&amp;"*",'Observations '!$H:$H,IF(D16="","",D16),'Observations '!$E:$E,$I$2)+COUNTIFS('Observations '!$G:$G,"*"&amp;C16&amp;"*",'Observations '!$H:$H,IF(D16="","",D16),'Observations '!$E:$E,$I$3)</f>
        <v>2</v>
      </c>
      <c r="J16" s="22" t="n">
        <f aca="false">COUNTIFS('Observations '!$G:$G,"*"&amp;C16&amp;"*",'Observations '!$H:$H,IF(D16="","",D16),'Observations '!$E:$E,$J$2)+COUNTIFS('Observations '!$G:$G,"*"&amp;C16&amp;"*",'Observations '!$H:$H,IF(D16="","",D16),'Observations '!$E:$E,$J$3)</f>
        <v>0</v>
      </c>
      <c r="K16" s="22" t="n">
        <f aca="false">COUNTIFS('Observations '!$G:$G,"*"&amp;C16&amp;"*",'Observations '!$H:$H,IF(D16="","",D16),'Observations '!$E:$E,$K$2)</f>
        <v>0</v>
      </c>
      <c r="L16" s="24" t="n">
        <f aca="false">SUM(I16:K16)</f>
        <v>2</v>
      </c>
    </row>
    <row r="17" customFormat="false" ht="15" hidden="false" customHeight="false" outlineLevel="0" collapsed="false">
      <c r="A17" s="2"/>
      <c r="B17" s="19" t="n">
        <v>12</v>
      </c>
      <c r="C17" s="20" t="s">
        <v>61</v>
      </c>
      <c r="D17" s="21" t="s">
        <v>62</v>
      </c>
      <c r="E17" s="22" t="n">
        <f aca="false">COUNTIFS('Observations '!$G:$G,"*"&amp;C17&amp;"*",'Observations '!$H:$H,IF(D17="","",D17),'Observations '!$D:$D,$E$2)</f>
        <v>0</v>
      </c>
      <c r="F17" s="23" t="n">
        <f aca="false">COUNTIFS('Observations '!$G:$G,"*"&amp;C17&amp;"*",'Observations '!$H:$H,IF(D17="","",D17),'Observations '!$D:$D,$F$2)+COUNTIFS('Observations '!$G:$G,"*"&amp;C17&amp;"*",'Observations '!$H:$H,IF(D17="","",D17),'Observations '!$D:$D,$F$3)</f>
        <v>4</v>
      </c>
      <c r="G17" s="22" t="n">
        <f aca="false">COUNTIFS('Observations '!$G:$G,"*"&amp;C17&amp;"*",'Observations '!$H:$H,IF(D17="","",D17),'Observations '!$D:$D,$G$2)</f>
        <v>1</v>
      </c>
      <c r="H17" s="22" t="n">
        <f aca="false">L17-E17-F17-G17</f>
        <v>-1</v>
      </c>
      <c r="I17" s="22" t="n">
        <f aca="false">COUNTIFS('Observations '!$G:$G,"*"&amp;C17&amp;"*",'Observations '!$H:$H,IF(D17="","",D17),'Observations '!$E:$E,$I$2)+COUNTIFS('Observations '!$G:$G,"*"&amp;C17&amp;"*",'Observations '!$H:$H,IF(D17="","",D17),'Observations '!$E:$E,$I$3)</f>
        <v>0</v>
      </c>
      <c r="J17" s="22" t="n">
        <f aca="false">COUNTIFS('Observations '!$G:$G,"*"&amp;C17&amp;"*",'Observations '!$H:$H,IF(D17="","",D17),'Observations '!$E:$E,$J$2)+COUNTIFS('Observations '!$G:$G,"*"&amp;C17&amp;"*",'Observations '!$H:$H,IF(D17="","",D17),'Observations '!$E:$E,$J$3)</f>
        <v>0</v>
      </c>
      <c r="K17" s="22" t="n">
        <f aca="false">COUNTIFS('Observations '!$G:$G,"*"&amp;C17&amp;"*",'Observations '!$H:$H,IF(D17="","",D17),'Observations '!$E:$E,$K$2)</f>
        <v>4</v>
      </c>
      <c r="L17" s="24" t="n">
        <f aca="false">SUM(I17:K17)</f>
        <v>4</v>
      </c>
    </row>
    <row r="18" customFormat="false" ht="15" hidden="false" customHeight="false" outlineLevel="0" collapsed="false">
      <c r="A18" s="2"/>
      <c r="B18" s="19" t="n">
        <v>13</v>
      </c>
      <c r="C18" s="20" t="s">
        <v>61</v>
      </c>
      <c r="D18" s="21" t="s">
        <v>63</v>
      </c>
      <c r="E18" s="22" t="n">
        <f aca="false">COUNTIFS('Observations '!$G:$G,"*"&amp;C18&amp;"*",'Observations '!$H:$H,IF(D18="","",D18),'Observations '!$D:$D,$E$2)</f>
        <v>0</v>
      </c>
      <c r="F18" s="23" t="n">
        <f aca="false">COUNTIFS('Observations '!$G:$G,"*"&amp;C18&amp;"*",'Observations '!$H:$H,IF(D18="","",D18),'Observations '!$D:$D,$F$2)+COUNTIFS('Observations '!$G:$G,"*"&amp;C18&amp;"*",'Observations '!$H:$H,IF(D18="","",D18),'Observations '!$D:$D,$F$3)</f>
        <v>1</v>
      </c>
      <c r="G18" s="22" t="n">
        <f aca="false">COUNTIFS('Observations '!$G:$G,"*"&amp;C18&amp;"*",'Observations '!$H:$H,IF(D18="","",D18),'Observations '!$D:$D,$G$2)</f>
        <v>0</v>
      </c>
      <c r="H18" s="22" t="n">
        <f aca="false">L18-E18-F18-G18</f>
        <v>0</v>
      </c>
      <c r="I18" s="22" t="n">
        <f aca="false">COUNTIFS('Observations '!$G:$G,"*"&amp;C18&amp;"*",'Observations '!$H:$H,IF(D18="","",D18),'Observations '!$E:$E,$I$2)+COUNTIFS('Observations '!$G:$G,"*"&amp;C18&amp;"*",'Observations '!$H:$H,IF(D18="","",D18),'Observations '!$E:$E,$I$3)</f>
        <v>0</v>
      </c>
      <c r="J18" s="22" t="n">
        <f aca="false">COUNTIFS('Observations '!$G:$G,"*"&amp;C18&amp;"*",'Observations '!$H:$H,IF(D18="","",D18),'Observations '!$E:$E,$J$2)+COUNTIFS('Observations '!$G:$G,"*"&amp;C18&amp;"*",'Observations '!$H:$H,IF(D18="","",D18),'Observations '!$E:$E,$J$3)</f>
        <v>0</v>
      </c>
      <c r="K18" s="22" t="n">
        <f aca="false">COUNTIFS('Observations '!$G:$G,"*"&amp;C18&amp;"*",'Observations '!$H:$H,IF(D18="","",D18),'Observations '!$E:$E,$K$2)</f>
        <v>1</v>
      </c>
      <c r="L18" s="24" t="n">
        <f aca="false">SUM(I18:K18)</f>
        <v>1</v>
      </c>
    </row>
    <row r="19" customFormat="false" ht="15" hidden="false" customHeight="false" outlineLevel="0" collapsed="false">
      <c r="A19" s="18" t="s">
        <v>64</v>
      </c>
      <c r="B19" s="19" t="n">
        <v>14</v>
      </c>
      <c r="C19" s="20" t="s">
        <v>61</v>
      </c>
      <c r="D19" s="21" t="s">
        <v>65</v>
      </c>
      <c r="E19" s="22" t="n">
        <f aca="false">COUNTIFS('Observations '!$G:$G,"*"&amp;C19&amp;"*",'Observations '!$H:$H,IF(D19="","",D19),'Observations '!$D:$D,$E$2)</f>
        <v>0</v>
      </c>
      <c r="F19" s="23" t="n">
        <f aca="false">COUNTIFS('Observations '!$G:$G,"*"&amp;C19&amp;"*",'Observations '!$H:$H,IF(D19="","",D19),'Observations '!$D:$D,$F$2)+COUNTIFS('Observations '!$G:$G,"*"&amp;C19&amp;"*",'Observations '!$H:$H,IF(D19="","",D19),'Observations '!$D:$D,$F$3)</f>
        <v>2</v>
      </c>
      <c r="G19" s="22" t="n">
        <f aca="false">COUNTIFS('Observations '!$G:$G,"*"&amp;C19&amp;"*",'Observations '!$H:$H,IF(D19="","",D19),'Observations '!$D:$D,$G$2)</f>
        <v>1</v>
      </c>
      <c r="H19" s="22" t="n">
        <f aca="false">L19-E19-F19-G19</f>
        <v>0</v>
      </c>
      <c r="I19" s="22" t="n">
        <f aca="false">COUNTIFS('Observations '!$G:$G,"*"&amp;C19&amp;"*",'Observations '!$H:$H,IF(D19="","",D19),'Observations '!$E:$E,$I$2)+COUNTIFS('Observations '!$G:$G,"*"&amp;C19&amp;"*",'Observations '!$H:$H,IF(D19="","",D19),'Observations '!$E:$E,$I$3)</f>
        <v>0</v>
      </c>
      <c r="J19" s="22" t="n">
        <f aca="false">COUNTIFS('Observations '!$G:$G,"*"&amp;C19&amp;"*",'Observations '!$H:$H,IF(D19="","",D19),'Observations '!$E:$E,$J$2)+COUNTIFS('Observations '!$G:$G,"*"&amp;C19&amp;"*",'Observations '!$H:$H,IF(D19="","",D19),'Observations '!$E:$E,$J$3)</f>
        <v>2</v>
      </c>
      <c r="K19" s="22" t="n">
        <f aca="false">COUNTIFS('Observations '!$G:$G,"*"&amp;C19&amp;"*",'Observations '!$H:$H,IF(D19="","",D19),'Observations '!$E:$E,$K$2)</f>
        <v>1</v>
      </c>
      <c r="L19" s="24" t="n">
        <f aca="false">SUM(I19:K19)</f>
        <v>3</v>
      </c>
    </row>
    <row r="20" customFormat="false" ht="15" hidden="false" customHeight="false" outlineLevel="0" collapsed="false">
      <c r="A20" s="2"/>
      <c r="B20" s="19" t="n">
        <v>15</v>
      </c>
      <c r="C20" s="20" t="s">
        <v>66</v>
      </c>
      <c r="D20" s="21"/>
      <c r="E20" s="22" t="n">
        <f aca="false">COUNTIFS('Observations '!$G:$G,"*"&amp;C20&amp;"*",'Observations '!$H:$H,IF(D20="","",D20),'Observations '!$D:$D,$E$2)</f>
        <v>0</v>
      </c>
      <c r="F20" s="23" t="n">
        <f aca="false">COUNTIFS('Observations '!$G:$G,"*"&amp;C20&amp;"*",'Observations '!$H:$H,IF(D20="","",D20),'Observations '!$D:$D,$F$2)+COUNTIFS('Observations '!$G:$G,"*"&amp;C20&amp;"*",'Observations '!$H:$H,IF(D20="","",D20),'Observations '!$D:$D,$F$3)</f>
        <v>2</v>
      </c>
      <c r="G20" s="22" t="n">
        <f aca="false">COUNTIFS('Observations '!$G:$G,"*"&amp;C20&amp;"*",'Observations '!$H:$H,IF(D20="","",D20),'Observations '!$D:$D,$G$2)</f>
        <v>0</v>
      </c>
      <c r="H20" s="22" t="n">
        <f aca="false">L20-E20-F20-G20</f>
        <v>1</v>
      </c>
      <c r="I20" s="22" t="n">
        <f aca="false">COUNTIFS('Observations '!$G:$G,"*"&amp;C20&amp;"*",'Observations '!$H:$H,IF(D20="","",D20),'Observations '!$E:$E,$I$2)+COUNTIFS('Observations '!$G:$G,"*"&amp;C20&amp;"*",'Observations '!$H:$H,IF(D20="","",D20),'Observations '!$E:$E,$I$3)</f>
        <v>0</v>
      </c>
      <c r="J20" s="22" t="n">
        <f aca="false">COUNTIFS('Observations '!$G:$G,"*"&amp;C20&amp;"*",'Observations '!$H:$H,IF(D20="","",D20),'Observations '!$E:$E,$J$2)+COUNTIFS('Observations '!$G:$G,"*"&amp;C20&amp;"*",'Observations '!$H:$H,IF(D20="","",D20),'Observations '!$E:$E,$J$3)</f>
        <v>2</v>
      </c>
      <c r="K20" s="22" t="n">
        <f aca="false">COUNTIFS('Observations '!$G:$G,"*"&amp;C20&amp;"*",'Observations '!$H:$H,IF(D20="","",D20),'Observations '!$E:$E,$K$2)</f>
        <v>1</v>
      </c>
      <c r="L20" s="24" t="n">
        <f aca="false">SUM(I20:K20)</f>
        <v>3</v>
      </c>
    </row>
    <row r="21" customFormat="false" ht="15" hidden="false" customHeight="false" outlineLevel="0" collapsed="false">
      <c r="A21" s="2"/>
      <c r="B21" s="19" t="n">
        <v>16</v>
      </c>
      <c r="C21" s="20" t="s">
        <v>67</v>
      </c>
      <c r="D21" s="21"/>
      <c r="E21" s="22" t="n">
        <f aca="false">COUNTIFS('Observations '!$G:$G,"*"&amp;C21&amp;"*",'Observations '!$H:$H,IF(D21="","",D21),'Observations '!$D:$D,$E$2)</f>
        <v>1</v>
      </c>
      <c r="F21" s="23" t="n">
        <f aca="false">COUNTIFS('Observations '!$G:$G,"*"&amp;C21&amp;"*",'Observations '!$H:$H,IF(D21="","",D21),'Observations '!$D:$D,$F$2)+COUNTIFS('Observations '!$G:$G,"*"&amp;C21&amp;"*",'Observations '!$H:$H,IF(D21="","",D21),'Observations '!$D:$D,$F$3)</f>
        <v>1</v>
      </c>
      <c r="G21" s="22" t="n">
        <f aca="false">COUNTIFS('Observations '!$G:$G,"*"&amp;C21&amp;"*",'Observations '!$H:$H,IF(D21="","",D21),'Observations '!$D:$D,$G$2)</f>
        <v>3</v>
      </c>
      <c r="H21" s="22" t="n">
        <f aca="false">L21-E21-F21-G21</f>
        <v>-2</v>
      </c>
      <c r="I21" s="22" t="n">
        <f aca="false">COUNTIFS('Observations '!$G:$G,"*"&amp;C21&amp;"*",'Observations '!$H:$H,IF(D21="","",D21),'Observations '!$E:$E,$I$2)+COUNTIFS('Observations '!$G:$G,"*"&amp;C21&amp;"*",'Observations '!$H:$H,IF(D21="","",D21),'Observations '!$E:$E,$I$3)</f>
        <v>0</v>
      </c>
      <c r="J21" s="22" t="n">
        <f aca="false">COUNTIFS('Observations '!$G:$G,"*"&amp;C21&amp;"*",'Observations '!$H:$H,IF(D21="","",D21),'Observations '!$E:$E,$J$2)+COUNTIFS('Observations '!$G:$G,"*"&amp;C21&amp;"*",'Observations '!$H:$H,IF(D21="","",D21),'Observations '!$E:$E,$J$3)</f>
        <v>2</v>
      </c>
      <c r="K21" s="22" t="n">
        <f aca="false">COUNTIFS('Observations '!$G:$G,"*"&amp;C21&amp;"*",'Observations '!$H:$H,IF(D21="","",D21),'Observations '!$E:$E,$K$2)</f>
        <v>1</v>
      </c>
      <c r="L21" s="24" t="n">
        <f aca="false">SUM(I21:K21)</f>
        <v>3</v>
      </c>
    </row>
    <row r="22" customFormat="false" ht="15" hidden="false" customHeight="false" outlineLevel="0" collapsed="false">
      <c r="A22" s="2"/>
      <c r="B22" s="19" t="n">
        <v>17</v>
      </c>
      <c r="C22" s="20" t="s">
        <v>68</v>
      </c>
      <c r="D22" s="21"/>
      <c r="E22" s="22" t="n">
        <f aca="false">COUNTIFS('Observations '!$G:$G,"*"&amp;C22&amp;"*",'Observations '!$H:$H,IF(D22="","",D22),'Observations '!$D:$D,$E$2)</f>
        <v>0</v>
      </c>
      <c r="F22" s="23" t="n">
        <f aca="false">COUNTIFS('Observations '!$G:$G,"*"&amp;C22&amp;"*",'Observations '!$H:$H,IF(D22="","",D22),'Observations '!$D:$D,$F$2)+COUNTIFS('Observations '!$G:$G,"*"&amp;C22&amp;"*",'Observations '!$H:$H,IF(D22="","",D22),'Observations '!$D:$D,$F$3)</f>
        <v>2</v>
      </c>
      <c r="G22" s="22" t="n">
        <f aca="false">COUNTIFS('Observations '!$G:$G,"*"&amp;C22&amp;"*",'Observations '!$H:$H,IF(D22="","",D22),'Observations '!$D:$D,$G$2)</f>
        <v>0</v>
      </c>
      <c r="H22" s="22" t="n">
        <f aca="false">L22-E22-F22-G22</f>
        <v>1</v>
      </c>
      <c r="I22" s="22" t="n">
        <f aca="false">COUNTIFS('Observations '!$G:$G,"*"&amp;C22&amp;"*",'Observations '!$H:$H,IF(D22="","",D22),'Observations '!$E:$E,$I$2)+COUNTIFS('Observations '!$G:$G,"*"&amp;C22&amp;"*",'Observations '!$H:$H,IF(D22="","",D22),'Observations '!$E:$E,$I$3)</f>
        <v>0</v>
      </c>
      <c r="J22" s="22" t="n">
        <f aca="false">COUNTIFS('Observations '!$G:$G,"*"&amp;C22&amp;"*",'Observations '!$H:$H,IF(D22="","",D22),'Observations '!$E:$E,$J$2)+COUNTIFS('Observations '!$G:$G,"*"&amp;C22&amp;"*",'Observations '!$H:$H,IF(D22="","",D22),'Observations '!$E:$E,$J$3)</f>
        <v>2</v>
      </c>
      <c r="K22" s="22" t="n">
        <f aca="false">COUNTIFS('Observations '!$G:$G,"*"&amp;C22&amp;"*",'Observations '!$H:$H,IF(D22="","",D22),'Observations '!$E:$E,$K$2)</f>
        <v>1</v>
      </c>
      <c r="L22" s="24" t="n">
        <f aca="false">SUM(I22:K22)</f>
        <v>3</v>
      </c>
    </row>
    <row r="23" customFormat="false" ht="15" hidden="false" customHeight="false" outlineLevel="0" collapsed="false">
      <c r="A23" s="18" t="s">
        <v>69</v>
      </c>
      <c r="B23" s="19" t="n">
        <v>18</v>
      </c>
      <c r="C23" s="20" t="s">
        <v>70</v>
      </c>
      <c r="D23" s="21" t="s">
        <v>69</v>
      </c>
      <c r="E23" s="22" t="n">
        <f aca="false">COUNTIFS('Observations '!$G:$G,"*"&amp;C23&amp;"*",'Observations '!$H:$H,IF(D23="","",D23),'Observations '!$D:$D,$E$2)</f>
        <v>0</v>
      </c>
      <c r="F23" s="23" t="n">
        <f aca="false">COUNTIFS('Observations '!$G:$G,"*"&amp;C23&amp;"*",'Observations '!$H:$H,IF(D23="","",D23),'Observations '!$D:$D,$F$2)+COUNTIFS('Observations '!$G:$G,"*"&amp;C23&amp;"*",'Observations '!$H:$H,IF(D23="","",D23),'Observations '!$D:$D,$F$3)</f>
        <v>1</v>
      </c>
      <c r="G23" s="22" t="n">
        <f aca="false">COUNTIFS('Observations '!$G:$G,"*"&amp;C23&amp;"*",'Observations '!$H:$H,IF(D23="","",D23),'Observations '!$D:$D,$G$2)</f>
        <v>0</v>
      </c>
      <c r="H23" s="22" t="n">
        <f aca="false">L23-E23-F23-G23</f>
        <v>1</v>
      </c>
      <c r="I23" s="22" t="n">
        <f aca="false">COUNTIFS('Observations '!$G:$G,"*"&amp;C23&amp;"*",'Observations '!$H:$H,IF(D23="","",D23),'Observations '!$E:$E,$I$2)+COUNTIFS('Observations '!$G:$G,"*"&amp;C23&amp;"*",'Observations '!$H:$H,IF(D23="","",D23),'Observations '!$E:$E,$I$3)</f>
        <v>2</v>
      </c>
      <c r="J23" s="22" t="n">
        <f aca="false">COUNTIFS('Observations '!$G:$G,"*"&amp;C23&amp;"*",'Observations '!$H:$H,IF(D23="","",D23),'Observations '!$E:$E,$J$2)+COUNTIFS('Observations '!$G:$G,"*"&amp;C23&amp;"*",'Observations '!$H:$H,IF(D23="","",D23),'Observations '!$E:$E,$J$3)</f>
        <v>0</v>
      </c>
      <c r="K23" s="22" t="n">
        <f aca="false">COUNTIFS('Observations '!$G:$G,"*"&amp;C23&amp;"*",'Observations '!$H:$H,IF(D23="","",D23),'Observations '!$E:$E,$K$2)</f>
        <v>0</v>
      </c>
      <c r="L23" s="24" t="n">
        <f aca="false">SUM(I23:K23)</f>
        <v>2</v>
      </c>
    </row>
    <row r="24" customFormat="false" ht="15" hidden="false" customHeight="false" outlineLevel="0" collapsed="false">
      <c r="A24" s="2"/>
      <c r="B24" s="19" t="n">
        <v>19</v>
      </c>
      <c r="C24" s="20" t="s">
        <v>71</v>
      </c>
      <c r="D24" s="21" t="s">
        <v>72</v>
      </c>
      <c r="E24" s="22" t="n">
        <f aca="false">COUNTIFS('Observations '!$G:$G,"*"&amp;C24&amp;"*",'Observations '!$H:$H,IF(D24="","",D24),'Observations '!$D:$D,$E$2)</f>
        <v>0</v>
      </c>
      <c r="F24" s="23" t="n">
        <f aca="false">COUNTIFS('Observations '!$G:$G,"*"&amp;C24&amp;"*",'Observations '!$H:$H,IF(D24="","",D24),'Observations '!$D:$D,$F$2)+COUNTIFS('Observations '!$G:$G,"*"&amp;C24&amp;"*",'Observations '!$H:$H,IF(D24="","",D24),'Observations '!$D:$D,$F$3)</f>
        <v>1</v>
      </c>
      <c r="G24" s="22" t="n">
        <f aca="false">COUNTIFS('Observations '!$G:$G,"*"&amp;C24&amp;"*",'Observations '!$H:$H,IF(D24="","",D24),'Observations '!$D:$D,$G$2)</f>
        <v>0</v>
      </c>
      <c r="H24" s="22" t="n">
        <f aca="false">L24-E24-F24-G24</f>
        <v>1</v>
      </c>
      <c r="I24" s="22" t="n">
        <f aca="false">COUNTIFS('Observations '!$G:$G,"*"&amp;C24&amp;"*",'Observations '!$H:$H,IF(D24="","",D24),'Observations '!$E:$E,$I$2)+COUNTIFS('Observations '!$G:$G,"*"&amp;C24&amp;"*",'Observations '!$H:$H,IF(D24="","",D24),'Observations '!$E:$E,$I$3)</f>
        <v>0</v>
      </c>
      <c r="J24" s="22" t="n">
        <f aca="false">COUNTIFS('Observations '!$G:$G,"*"&amp;C24&amp;"*",'Observations '!$H:$H,IF(D24="","",D24),'Observations '!$E:$E,$J$2)+COUNTIFS('Observations '!$G:$G,"*"&amp;C24&amp;"*",'Observations '!$H:$H,IF(D24="","",D24),'Observations '!$E:$E,$J$3)</f>
        <v>2</v>
      </c>
      <c r="K24" s="22" t="n">
        <f aca="false">COUNTIFS('Observations '!$G:$G,"*"&amp;C24&amp;"*",'Observations '!$H:$H,IF(D24="","",D24),'Observations '!$E:$E,$K$2)</f>
        <v>0</v>
      </c>
      <c r="L24" s="24" t="n">
        <f aca="false">SUM(I24:K24)</f>
        <v>2</v>
      </c>
    </row>
    <row r="25" customFormat="false" ht="15" hidden="false" customHeight="false" outlineLevel="0" collapsed="false">
      <c r="A25" s="2"/>
      <c r="B25" s="19" t="n">
        <v>20</v>
      </c>
      <c r="C25" s="20" t="s">
        <v>61</v>
      </c>
      <c r="D25" s="21" t="s">
        <v>73</v>
      </c>
      <c r="E25" s="22" t="n">
        <f aca="false">COUNTIFS('Observations '!$G:$G,"*"&amp;C25&amp;"*",'Observations '!$H:$H,IF(D25="","",D25),'Observations '!$D:$D,$E$2)</f>
        <v>0</v>
      </c>
      <c r="F25" s="23" t="n">
        <f aca="false">COUNTIFS('Observations '!$G:$G,"*"&amp;C25&amp;"*",'Observations '!$H:$H,IF(D25="","",D25),'Observations '!$D:$D,$F$2)+COUNTIFS('Observations '!$G:$G,"*"&amp;C25&amp;"*",'Observations '!$H:$H,IF(D25="","",D25),'Observations '!$D:$D,$F$3)</f>
        <v>1</v>
      </c>
      <c r="G25" s="22" t="n">
        <f aca="false">COUNTIFS('Observations '!$G:$G,"*"&amp;C25&amp;"*",'Observations '!$H:$H,IF(D25="","",D25),'Observations '!$D:$D,$G$2)</f>
        <v>0</v>
      </c>
      <c r="H25" s="22" t="n">
        <f aca="false">L25-E25-F25-G25</f>
        <v>1</v>
      </c>
      <c r="I25" s="22" t="n">
        <f aca="false">COUNTIFS('Observations '!$G:$G,"*"&amp;C25&amp;"*",'Observations '!$H:$H,IF(D25="","",D25),'Observations '!$E:$E,$I$2)+COUNTIFS('Observations '!$G:$G,"*"&amp;C25&amp;"*",'Observations '!$H:$H,IF(D25="","",D25),'Observations '!$E:$E,$I$3)</f>
        <v>0</v>
      </c>
      <c r="J25" s="22" t="n">
        <f aca="false">COUNTIFS('Observations '!$G:$G,"*"&amp;C25&amp;"*",'Observations '!$H:$H,IF(D25="","",D25),'Observations '!$E:$E,$J$2)+COUNTIFS('Observations '!$G:$G,"*"&amp;C25&amp;"*",'Observations '!$H:$H,IF(D25="","",D25),'Observations '!$E:$E,$J$3)</f>
        <v>2</v>
      </c>
      <c r="K25" s="22" t="n">
        <f aca="false">COUNTIFS('Observations '!$G:$G,"*"&amp;C25&amp;"*",'Observations '!$H:$H,IF(D25="","",D25),'Observations '!$E:$E,$K$2)</f>
        <v>0</v>
      </c>
      <c r="L25" s="24" t="n">
        <f aca="false">SUM(I25:K25)</f>
        <v>2</v>
      </c>
    </row>
    <row r="26" customFormat="false" ht="15" hidden="false" customHeight="false" outlineLevel="0" collapsed="false">
      <c r="A26" s="2"/>
      <c r="B26" s="19" t="n">
        <v>21</v>
      </c>
      <c r="C26" s="20" t="s">
        <v>61</v>
      </c>
      <c r="D26" s="21" t="s">
        <v>74</v>
      </c>
      <c r="E26" s="22" t="n">
        <f aca="false">COUNTIFS('Observations '!$G:$G,"*"&amp;C26&amp;"*",'Observations '!$H:$H,IF(D26="","",D26),'Observations '!$D:$D,$E$2)</f>
        <v>0</v>
      </c>
      <c r="F26" s="23" t="n">
        <f aca="false">COUNTIFS('Observations '!$G:$G,"*"&amp;C26&amp;"*",'Observations '!$H:$H,IF(D26="","",D26),'Observations '!$D:$D,$F$2)+COUNTIFS('Observations '!$G:$G,"*"&amp;C26&amp;"*",'Observations '!$H:$H,IF(D26="","",D26),'Observations '!$D:$D,$F$3)</f>
        <v>1</v>
      </c>
      <c r="G26" s="22" t="n">
        <f aca="false">COUNTIFS('Observations '!$G:$G,"*"&amp;C26&amp;"*",'Observations '!$H:$H,IF(D26="","",D26),'Observations '!$D:$D,$G$2)</f>
        <v>0</v>
      </c>
      <c r="H26" s="22" t="n">
        <f aca="false">L26-E26-F26-G26</f>
        <v>1</v>
      </c>
      <c r="I26" s="22" t="n">
        <f aca="false">COUNTIFS('Observations '!$G:$G,"*"&amp;C26&amp;"*",'Observations '!$H:$H,IF(D26="","",D26),'Observations '!$E:$E,$I$2)+COUNTIFS('Observations '!$G:$G,"*"&amp;C26&amp;"*",'Observations '!$H:$H,IF(D26="","",D26),'Observations '!$E:$E,$I$3)</f>
        <v>0</v>
      </c>
      <c r="J26" s="22" t="n">
        <f aca="false">COUNTIFS('Observations '!$G:$G,"*"&amp;C26&amp;"*",'Observations '!$H:$H,IF(D26="","",D26),'Observations '!$E:$E,$J$2)+COUNTIFS('Observations '!$G:$G,"*"&amp;C26&amp;"*",'Observations '!$H:$H,IF(D26="","",D26),'Observations '!$E:$E,$J$3)</f>
        <v>2</v>
      </c>
      <c r="K26" s="22" t="n">
        <f aca="false">COUNTIFS('Observations '!$G:$G,"*"&amp;C26&amp;"*",'Observations '!$H:$H,IF(D26="","",D26),'Observations '!$E:$E,$K$2)</f>
        <v>0</v>
      </c>
      <c r="L26" s="24" t="n">
        <f aca="false">SUM(I26:K26)</f>
        <v>2</v>
      </c>
    </row>
    <row r="27" customFormat="false" ht="15" hidden="false" customHeight="false" outlineLevel="0" collapsed="false">
      <c r="A27" s="2"/>
      <c r="B27" s="19" t="n">
        <v>22</v>
      </c>
      <c r="C27" s="20" t="s">
        <v>61</v>
      </c>
      <c r="D27" s="21" t="s">
        <v>75</v>
      </c>
      <c r="E27" s="22" t="n">
        <f aca="false">COUNTIFS('Observations '!$G:$G,"*"&amp;C27&amp;"*",'Observations '!$H:$H,IF(D27="","",D27),'Observations '!$D:$D,$E$2)</f>
        <v>0</v>
      </c>
      <c r="F27" s="23" t="n">
        <f aca="false">COUNTIFS('Observations '!$G:$G,"*"&amp;C27&amp;"*",'Observations '!$H:$H,IF(D27="","",D27),'Observations '!$D:$D,$F$2)+COUNTIFS('Observations '!$G:$G,"*"&amp;C27&amp;"*",'Observations '!$H:$H,IF(D27="","",D27),'Observations '!$D:$D,$F$3)</f>
        <v>2</v>
      </c>
      <c r="G27" s="22" t="n">
        <f aca="false">COUNTIFS('Observations '!$G:$G,"*"&amp;C27&amp;"*",'Observations '!$H:$H,IF(D27="","",D27),'Observations '!$D:$D,$G$2)</f>
        <v>0</v>
      </c>
      <c r="H27" s="22" t="n">
        <f aca="false">L27-E27-F27-G27</f>
        <v>2</v>
      </c>
      <c r="I27" s="22" t="n">
        <f aca="false">COUNTIFS('Observations '!$G:$G,"*"&amp;C27&amp;"*",'Observations '!$H:$H,IF(D27="","",D27),'Observations '!$E:$E,$I$2)+COUNTIFS('Observations '!$G:$G,"*"&amp;C27&amp;"*",'Observations '!$H:$H,IF(D27="","",D27),'Observations '!$E:$E,$I$3)</f>
        <v>0</v>
      </c>
      <c r="J27" s="22" t="n">
        <f aca="false">COUNTIFS('Observations '!$G:$G,"*"&amp;C27&amp;"*",'Observations '!$H:$H,IF(D27="","",D27),'Observations '!$E:$E,$J$2)+COUNTIFS('Observations '!$G:$G,"*"&amp;C27&amp;"*",'Observations '!$H:$H,IF(D27="","",D27),'Observations '!$E:$E,$J$3)</f>
        <v>4</v>
      </c>
      <c r="K27" s="22" t="n">
        <f aca="false">COUNTIFS('Observations '!$G:$G,"*"&amp;C27&amp;"*",'Observations '!$H:$H,IF(D27="","",D27),'Observations '!$E:$E,$K$2)</f>
        <v>0</v>
      </c>
      <c r="L27" s="24" t="n">
        <f aca="false">SUM(I27:K27)</f>
        <v>4</v>
      </c>
    </row>
    <row r="28" customFormat="false" ht="15" hidden="false" customHeight="false" outlineLevel="0" collapsed="false">
      <c r="A28" s="2"/>
      <c r="B28" s="19" t="n">
        <v>23</v>
      </c>
      <c r="C28" s="20" t="s">
        <v>76</v>
      </c>
      <c r="D28" s="21" t="s">
        <v>77</v>
      </c>
      <c r="E28" s="22" t="n">
        <f aca="false">COUNTIFS('Observations '!$G:$G,"*"&amp;C28&amp;"*",'Observations '!$H:$H,IF(D28="","",D28),'Observations '!$D:$D,$E$2)</f>
        <v>0</v>
      </c>
      <c r="F28" s="23" t="n">
        <f aca="false">COUNTIFS('Observations '!$G:$G,"*"&amp;C28&amp;"*",'Observations '!$H:$H,IF(D28="","",D28),'Observations '!$D:$D,$F$2)+COUNTIFS('Observations '!$G:$G,"*"&amp;C28&amp;"*",'Observations '!$H:$H,IF(D28="","",D28),'Observations '!$D:$D,$F$3)</f>
        <v>1</v>
      </c>
      <c r="G28" s="22" t="n">
        <f aca="false">COUNTIFS('Observations '!$G:$G,"*"&amp;C28&amp;"*",'Observations '!$H:$H,IF(D28="","",D28),'Observations '!$D:$D,$G$2)</f>
        <v>0</v>
      </c>
      <c r="H28" s="22" t="n">
        <f aca="false">L28-E28-F28-G28</f>
        <v>1</v>
      </c>
      <c r="I28" s="22" t="n">
        <f aca="false">COUNTIFS('Observations '!$G:$G,"*"&amp;C28&amp;"*",'Observations '!$H:$H,IF(D28="","",D28),'Observations '!$E:$E,$I$2)+COUNTIFS('Observations '!$G:$G,"*"&amp;C28&amp;"*",'Observations '!$H:$H,IF(D28="","",D28),'Observations '!$E:$E,$I$3)</f>
        <v>2</v>
      </c>
      <c r="J28" s="22" t="n">
        <f aca="false">COUNTIFS('Observations '!$G:$G,"*"&amp;C28&amp;"*",'Observations '!$H:$H,IF(D28="","",D28),'Observations '!$E:$E,$J$2)+COUNTIFS('Observations '!$G:$G,"*"&amp;C28&amp;"*",'Observations '!$H:$H,IF(D28="","",D28),'Observations '!$E:$E,$J$3)</f>
        <v>0</v>
      </c>
      <c r="K28" s="22" t="n">
        <f aca="false">COUNTIFS('Observations '!$G:$G,"*"&amp;C28&amp;"*",'Observations '!$H:$H,IF(D28="","",D28),'Observations '!$E:$E,$K$2)</f>
        <v>0</v>
      </c>
      <c r="L28" s="24" t="n">
        <f aca="false">SUM(I28:K28)</f>
        <v>2</v>
      </c>
    </row>
    <row r="29" customFormat="false" ht="15" hidden="false" customHeight="false" outlineLevel="0" collapsed="false">
      <c r="A29" s="2"/>
      <c r="B29" s="19" t="n">
        <v>24</v>
      </c>
      <c r="C29" s="20" t="s">
        <v>78</v>
      </c>
      <c r="D29" s="21" t="s">
        <v>79</v>
      </c>
      <c r="E29" s="22" t="n">
        <f aca="false">COUNTIFS('Observations '!$G:$G,"*"&amp;C29&amp;"*",'Observations '!$H:$H,IF(D29="","",D29),'Observations '!$D:$D,$E$2)</f>
        <v>0</v>
      </c>
      <c r="F29" s="23" t="n">
        <f aca="false">COUNTIFS('Observations '!$G:$G,"*"&amp;C29&amp;"*",'Observations '!$H:$H,IF(D29="","",D29),'Observations '!$D:$D,$F$2)+COUNTIFS('Observations '!$G:$G,"*"&amp;C29&amp;"*",'Observations '!$H:$H,IF(D29="","",D29),'Observations '!$D:$D,$F$3)</f>
        <v>1</v>
      </c>
      <c r="G29" s="22" t="n">
        <f aca="false">COUNTIFS('Observations '!$G:$G,"*"&amp;C29&amp;"*",'Observations '!$H:$H,IF(D29="","",D29),'Observations '!$D:$D,$G$2)</f>
        <v>0</v>
      </c>
      <c r="H29" s="22" t="n">
        <f aca="false">L29-E29-F29-G29</f>
        <v>1</v>
      </c>
      <c r="I29" s="22" t="n">
        <f aca="false">COUNTIFS('Observations '!$G:$G,"*"&amp;C29&amp;"*",'Observations '!$H:$H,IF(D29="","",D29),'Observations '!$E:$E,$I$2)+COUNTIFS('Observations '!$G:$G,"*"&amp;C29&amp;"*",'Observations '!$H:$H,IF(D29="","",D29),'Observations '!$E:$E,$I$3)</f>
        <v>0</v>
      </c>
      <c r="J29" s="22" t="n">
        <f aca="false">COUNTIFS('Observations '!$G:$G,"*"&amp;C29&amp;"*",'Observations '!$H:$H,IF(D29="","",D29),'Observations '!$E:$E,$J$2)+COUNTIFS('Observations '!$G:$G,"*"&amp;C29&amp;"*",'Observations '!$H:$H,IF(D29="","",D29),'Observations '!$E:$E,$J$3)</f>
        <v>2</v>
      </c>
      <c r="K29" s="22" t="n">
        <f aca="false">COUNTIFS('Observations '!$G:$G,"*"&amp;C29&amp;"*",'Observations '!$H:$H,IF(D29="","",D29),'Observations '!$E:$E,$K$2)</f>
        <v>0</v>
      </c>
      <c r="L29" s="24" t="n">
        <f aca="false">SUM(I29:K29)</f>
        <v>2</v>
      </c>
    </row>
    <row r="30" customFormat="false" ht="15" hidden="false" customHeight="false" outlineLevel="0" collapsed="false">
      <c r="A30" s="2"/>
      <c r="B30" s="19" t="n">
        <v>25</v>
      </c>
      <c r="C30" s="20" t="s">
        <v>80</v>
      </c>
      <c r="D30" s="21"/>
      <c r="E30" s="22" t="n">
        <f aca="false">COUNTIFS('Observations '!$G:$G,"*"&amp;C30&amp;"*",'Observations '!$H:$H,IF(D30="","",D30),'Observations '!$D:$D,$E$2)</f>
        <v>0</v>
      </c>
      <c r="F30" s="23" t="n">
        <f aca="false">COUNTIFS('Observations '!$G:$G,"*"&amp;C30&amp;"*",'Observations '!$H:$H,IF(D30="","",D30),'Observations '!$D:$D,$F$2)+COUNTIFS('Observations '!$G:$G,"*"&amp;C30&amp;"*",'Observations '!$H:$H,IF(D30="","",D30),'Observations '!$D:$D,$F$3)</f>
        <v>1</v>
      </c>
      <c r="G30" s="22" t="n">
        <f aca="false">COUNTIFS('Observations '!$G:$G,"*"&amp;C30&amp;"*",'Observations '!$H:$H,IF(D30="","",D30),'Observations '!$D:$D,$G$2)</f>
        <v>0</v>
      </c>
      <c r="H30" s="22" t="n">
        <f aca="false">L30-E30-F30-G30</f>
        <v>1</v>
      </c>
      <c r="I30" s="22" t="n">
        <f aca="false">COUNTIFS('Observations '!$G:$G,"*"&amp;C30&amp;"*",'Observations '!$H:$H,IF(D30="","",D30),'Observations '!$E:$E,$I$2)+COUNTIFS('Observations '!$G:$G,"*"&amp;C30&amp;"*",'Observations '!$H:$H,IF(D30="","",D30),'Observations '!$E:$E,$I$3)</f>
        <v>0</v>
      </c>
      <c r="J30" s="22" t="n">
        <f aca="false">COUNTIFS('Observations '!$G:$G,"*"&amp;C30&amp;"*",'Observations '!$H:$H,IF(D30="","",D30),'Observations '!$E:$E,$J$2)+COUNTIFS('Observations '!$G:$G,"*"&amp;C30&amp;"*",'Observations '!$H:$H,IF(D30="","",D30),'Observations '!$E:$E,$J$3)</f>
        <v>2</v>
      </c>
      <c r="K30" s="22" t="n">
        <f aca="false">COUNTIFS('Observations '!$G:$G,"*"&amp;C30&amp;"*",'Observations '!$H:$H,IF(D30="","",D30),'Observations '!$E:$E,$K$2)</f>
        <v>0</v>
      </c>
      <c r="L30" s="24" t="n">
        <f aca="false">SUM(I30:K30)</f>
        <v>2</v>
      </c>
    </row>
    <row r="31" customFormat="false" ht="15" hidden="false" customHeight="false" outlineLevel="0" collapsed="false">
      <c r="A31" s="2"/>
      <c r="B31" s="19" t="n">
        <v>26</v>
      </c>
      <c r="C31" s="20" t="s">
        <v>81</v>
      </c>
      <c r="D31" s="21"/>
      <c r="E31" s="22" t="n">
        <f aca="false">COUNTIFS('Observations '!$G:$G,"*"&amp;C31&amp;"*",'Observations '!$H:$H,IF(D31="","",D31),'Observations '!$D:$D,$E$2)</f>
        <v>0</v>
      </c>
      <c r="F31" s="23" t="n">
        <f aca="false">COUNTIFS('Observations '!$G:$G,"*"&amp;C31&amp;"*",'Observations '!$H:$H,IF(D31="","",D31),'Observations '!$D:$D,$F$2)+COUNTIFS('Observations '!$G:$G,"*"&amp;C31&amp;"*",'Observations '!$H:$H,IF(D31="","",D31),'Observations '!$D:$D,$F$3)</f>
        <v>1</v>
      </c>
      <c r="G31" s="22" t="n">
        <f aca="false">COUNTIFS('Observations '!$G:$G,"*"&amp;C31&amp;"*",'Observations '!$H:$H,IF(D31="","",D31),'Observations '!$D:$D,$G$2)</f>
        <v>0</v>
      </c>
      <c r="H31" s="22" t="n">
        <f aca="false">L31-E31-F31-G31</f>
        <v>1</v>
      </c>
      <c r="I31" s="22" t="n">
        <f aca="false">COUNTIFS('Observations '!$G:$G,"*"&amp;C31&amp;"*",'Observations '!$H:$H,IF(D31="","",D31),'Observations '!$E:$E,$I$2)+COUNTIFS('Observations '!$G:$G,"*"&amp;C31&amp;"*",'Observations '!$H:$H,IF(D31="","",D31),'Observations '!$E:$E,$I$3)</f>
        <v>0</v>
      </c>
      <c r="J31" s="22" t="n">
        <f aca="false">COUNTIFS('Observations '!$G:$G,"*"&amp;C31&amp;"*",'Observations '!$H:$H,IF(D31="","",D31),'Observations '!$E:$E,$J$2)+COUNTIFS('Observations '!$G:$G,"*"&amp;C31&amp;"*",'Observations '!$H:$H,IF(D31="","",D31),'Observations '!$E:$E,$J$3)</f>
        <v>2</v>
      </c>
      <c r="K31" s="22" t="n">
        <f aca="false">COUNTIFS('Observations '!$G:$G,"*"&amp;C31&amp;"*",'Observations '!$H:$H,IF(D31="","",D31),'Observations '!$E:$E,$K$2)</f>
        <v>0</v>
      </c>
      <c r="L31" s="24" t="n">
        <f aca="false">SUM(I31:K31)</f>
        <v>2</v>
      </c>
    </row>
    <row r="32" customFormat="false" ht="15" hidden="false" customHeight="false" outlineLevel="0" collapsed="false">
      <c r="A32" s="2"/>
      <c r="B32" s="19" t="n">
        <v>27</v>
      </c>
      <c r="C32" s="20" t="s">
        <v>82</v>
      </c>
      <c r="D32" s="21"/>
      <c r="E32" s="22" t="n">
        <f aca="false">COUNTIFS('Observations '!$G:$G,"*"&amp;C32&amp;"*",'Observations '!$H:$H,IF(D32="","",D32),'Observations '!$D:$D,$E$2)</f>
        <v>0</v>
      </c>
      <c r="F32" s="23" t="n">
        <f aca="false">COUNTIFS('Observations '!$G:$G,"*"&amp;C32&amp;"*",'Observations '!$H:$H,IF(D32="","",D32),'Observations '!$D:$D,$F$2)+COUNTIFS('Observations '!$G:$G,"*"&amp;C32&amp;"*",'Observations '!$H:$H,IF(D32="","",D32),'Observations '!$D:$D,$F$3)</f>
        <v>1</v>
      </c>
      <c r="G32" s="22" t="n">
        <f aca="false">COUNTIFS('Observations '!$G:$G,"*"&amp;C32&amp;"*",'Observations '!$H:$H,IF(D32="","",D32),'Observations '!$D:$D,$G$2)</f>
        <v>0</v>
      </c>
      <c r="H32" s="22" t="n">
        <f aca="false">L32-E32-F32-G32</f>
        <v>1</v>
      </c>
      <c r="I32" s="22" t="n">
        <f aca="false">COUNTIFS('Observations '!$G:$G,"*"&amp;C32&amp;"*",'Observations '!$H:$H,IF(D32="","",D32),'Observations '!$E:$E,$I$2)+COUNTIFS('Observations '!$G:$G,"*"&amp;C32&amp;"*",'Observations '!$H:$H,IF(D32="","",D32),'Observations '!$E:$E,$I$3)</f>
        <v>0</v>
      </c>
      <c r="J32" s="22" t="n">
        <f aca="false">COUNTIFS('Observations '!$G:$G,"*"&amp;C32&amp;"*",'Observations '!$H:$H,IF(D32="","",D32),'Observations '!$E:$E,$J$2)+COUNTIFS('Observations '!$G:$G,"*"&amp;C32&amp;"*",'Observations '!$H:$H,IF(D32="","",D32),'Observations '!$E:$E,$J$3)</f>
        <v>2</v>
      </c>
      <c r="K32" s="22" t="n">
        <f aca="false">COUNTIFS('Observations '!$G:$G,"*"&amp;C32&amp;"*",'Observations '!$H:$H,IF(D32="","",D32),'Observations '!$E:$E,$K$2)</f>
        <v>0</v>
      </c>
      <c r="L32" s="24" t="n">
        <f aca="false">SUM(I32:K32)</f>
        <v>2</v>
      </c>
    </row>
    <row r="33" customFormat="false" ht="15" hidden="false" customHeight="false" outlineLevel="0" collapsed="false">
      <c r="A33" s="2"/>
      <c r="B33" s="19" t="n">
        <v>28</v>
      </c>
      <c r="C33" s="20" t="s">
        <v>83</v>
      </c>
      <c r="D33" s="21"/>
      <c r="E33" s="22" t="n">
        <f aca="false">COUNTIFS('Observations '!$G:$G,"*"&amp;C33&amp;"*",'Observations '!$H:$H,IF(D33="","",D33),'Observations '!$D:$D,$E$2)</f>
        <v>0</v>
      </c>
      <c r="F33" s="23" t="n">
        <f aca="false">COUNTIFS('Observations '!$G:$G,"*"&amp;C33&amp;"*",'Observations '!$H:$H,IF(D33="","",D33),'Observations '!$D:$D,$F$2)+COUNTIFS('Observations '!$G:$G,"*"&amp;C33&amp;"*",'Observations '!$H:$H,IF(D33="","",D33),'Observations '!$D:$D,$F$3)</f>
        <v>1</v>
      </c>
      <c r="G33" s="22" t="n">
        <f aca="false">COUNTIFS('Observations '!$G:$G,"*"&amp;C33&amp;"*",'Observations '!$H:$H,IF(D33="","",D33),'Observations '!$D:$D,$G$2)</f>
        <v>0</v>
      </c>
      <c r="H33" s="22" t="n">
        <f aca="false">L33-E33-F33-G33</f>
        <v>-1</v>
      </c>
      <c r="I33" s="22" t="n">
        <f aca="false">COUNTIFS('Observations '!$G:$G,"*"&amp;C33&amp;"*",'Observations '!$H:$H,IF(D33="","",D33),'Observations '!$E:$E,$I$2)+COUNTIFS('Observations '!$G:$G,"*"&amp;C33&amp;"*",'Observations '!$H:$H,IF(D33="","",D33),'Observations '!$E:$E,$I$3)</f>
        <v>0</v>
      </c>
      <c r="J33" s="22" t="n">
        <f aca="false">COUNTIFS('Observations '!$G:$G,"*"&amp;C33&amp;"*",'Observations '!$H:$H,IF(D33="","",D33),'Observations '!$E:$E,$J$2)+COUNTIFS('Observations '!$G:$G,"*"&amp;C33&amp;"*",'Observations '!$H:$H,IF(D33="","",D33),'Observations '!$E:$E,$J$3)</f>
        <v>0</v>
      </c>
      <c r="K33" s="22" t="n">
        <f aca="false">COUNTIFS('Observations '!$G:$G,"*"&amp;C33&amp;"*",'Observations '!$H:$H,IF(D33="","",D33),'Observations '!$E:$E,$K$2)</f>
        <v>0</v>
      </c>
      <c r="L33" s="24" t="n">
        <f aca="false">SUM(I33:K33)</f>
        <v>0</v>
      </c>
    </row>
    <row r="34" customFormat="false" ht="15" hidden="false" customHeight="false" outlineLevel="0" collapsed="false">
      <c r="A34" s="2"/>
      <c r="B34" s="19" t="n">
        <v>29</v>
      </c>
      <c r="C34" s="20" t="s">
        <v>84</v>
      </c>
      <c r="D34" s="21"/>
      <c r="E34" s="22" t="n">
        <f aca="false">COUNTIFS('Observations '!$G:$G,"*"&amp;C34&amp;"*",'Observations '!$H:$H,IF(D34="","",D34),'Observations '!$D:$D,$E$2)</f>
        <v>1</v>
      </c>
      <c r="F34" s="23" t="n">
        <f aca="false">COUNTIFS('Observations '!$G:$G,"*"&amp;C34&amp;"*",'Observations '!$H:$H,IF(D34="","",D34),'Observations '!$D:$D,$F$2)+COUNTIFS('Observations '!$G:$G,"*"&amp;C34&amp;"*",'Observations '!$H:$H,IF(D34="","",D34),'Observations '!$D:$D,$F$3)</f>
        <v>0</v>
      </c>
      <c r="G34" s="22" t="n">
        <f aca="false">COUNTIFS('Observations '!$G:$G,"*"&amp;C34&amp;"*",'Observations '!$H:$H,IF(D34="","",D34),'Observations '!$D:$D,$G$2)</f>
        <v>0</v>
      </c>
      <c r="H34" s="22" t="n">
        <f aca="false">L34-E34-F34-G34</f>
        <v>1</v>
      </c>
      <c r="I34" s="22" t="n">
        <f aca="false">COUNTIFS('Observations '!$G:$G,"*"&amp;C34&amp;"*",'Observations '!$H:$H,IF(D34="","",D34),'Observations '!$E:$E,$I$2)+COUNTIFS('Observations '!$G:$G,"*"&amp;C34&amp;"*",'Observations '!$H:$H,IF(D34="","",D34),'Observations '!$E:$E,$I$3)</f>
        <v>2</v>
      </c>
      <c r="J34" s="22" t="n">
        <f aca="false">COUNTIFS('Observations '!$G:$G,"*"&amp;C34&amp;"*",'Observations '!$H:$H,IF(D34="","",D34),'Observations '!$E:$E,$J$2)+COUNTIFS('Observations '!$G:$G,"*"&amp;C34&amp;"*",'Observations '!$H:$H,IF(D34="","",D34),'Observations '!$E:$E,$J$3)</f>
        <v>0</v>
      </c>
      <c r="K34" s="22" t="n">
        <f aca="false">COUNTIFS('Observations '!$G:$G,"*"&amp;C34&amp;"*",'Observations '!$H:$H,IF(D34="","",D34),'Observations '!$E:$E,$K$2)</f>
        <v>0</v>
      </c>
      <c r="L34" s="24" t="n">
        <f aca="false">SUM(I34:K34)</f>
        <v>2</v>
      </c>
    </row>
    <row r="35" customFormat="false" ht="15" hidden="false" customHeight="false" outlineLevel="0" collapsed="false">
      <c r="A35" s="2"/>
      <c r="B35" s="19" t="n">
        <v>30</v>
      </c>
      <c r="C35" s="20" t="s">
        <v>85</v>
      </c>
      <c r="D35" s="21"/>
      <c r="E35" s="22" t="n">
        <f aca="false">COUNTIFS('Observations '!$G:$G,"*"&amp;C35&amp;"*",'Observations '!$H:$H,IF(D35="","",D35),'Observations '!$D:$D,$E$2)</f>
        <v>0</v>
      </c>
      <c r="F35" s="23" t="n">
        <f aca="false">COUNTIFS('Observations '!$G:$G,"*"&amp;C35&amp;"*",'Observations '!$H:$H,IF(D35="","",D35),'Observations '!$D:$D,$F$2)+COUNTIFS('Observations '!$G:$G,"*"&amp;C35&amp;"*",'Observations '!$H:$H,IF(D35="","",D35),'Observations '!$D:$D,$F$3)</f>
        <v>1</v>
      </c>
      <c r="G35" s="22" t="n">
        <f aca="false">COUNTIFS('Observations '!$G:$G,"*"&amp;C35&amp;"*",'Observations '!$H:$H,IF(D35="","",D35),'Observations '!$D:$D,$G$2)</f>
        <v>3</v>
      </c>
      <c r="H35" s="22" t="n">
        <f aca="false">L35-E35-F35-G35</f>
        <v>-2</v>
      </c>
      <c r="I35" s="22" t="n">
        <f aca="false">COUNTIFS('Observations '!$G:$G,"*"&amp;C35&amp;"*",'Observations '!$H:$H,IF(D35="","",D35),'Observations '!$E:$E,$I$2)+COUNTIFS('Observations '!$G:$G,"*"&amp;C35&amp;"*",'Observations '!$H:$H,IF(D35="","",D35),'Observations '!$E:$E,$I$3)</f>
        <v>0</v>
      </c>
      <c r="J35" s="22" t="n">
        <f aca="false">COUNTIFS('Observations '!$G:$G,"*"&amp;C35&amp;"*",'Observations '!$H:$H,IF(D35="","",D35),'Observations '!$E:$E,$J$2)+COUNTIFS('Observations '!$G:$G,"*"&amp;C35&amp;"*",'Observations '!$H:$H,IF(D35="","",D35),'Observations '!$E:$E,$J$3)</f>
        <v>2</v>
      </c>
      <c r="K35" s="22" t="n">
        <f aca="false">COUNTIFS('Observations '!$G:$G,"*"&amp;C35&amp;"*",'Observations '!$H:$H,IF(D35="","",D35),'Observations '!$E:$E,$K$2)</f>
        <v>0</v>
      </c>
      <c r="L35" s="24" t="n">
        <f aca="false">SUM(I35:K35)</f>
        <v>2</v>
      </c>
    </row>
    <row r="36" customFormat="false" ht="15" hidden="false" customHeight="false" outlineLevel="0" collapsed="false">
      <c r="A36" s="2"/>
      <c r="B36" s="19" t="n">
        <v>31</v>
      </c>
      <c r="C36" s="20" t="s">
        <v>86</v>
      </c>
      <c r="D36" s="21"/>
      <c r="E36" s="22" t="n">
        <f aca="false">COUNTIFS('Observations '!$G:$G,"*"&amp;C36&amp;"*",'Observations '!$H:$H,IF(D36="","",D36),'Observations '!$D:$D,$E$2)</f>
        <v>1</v>
      </c>
      <c r="F36" s="23" t="n">
        <f aca="false">COUNTIFS('Observations '!$G:$G,"*"&amp;C36&amp;"*",'Observations '!$H:$H,IF(D36="","",D36),'Observations '!$D:$D,$F$2)+COUNTIFS('Observations '!$G:$G,"*"&amp;C36&amp;"*",'Observations '!$H:$H,IF(D36="","",D36),'Observations '!$D:$D,$F$3)</f>
        <v>1</v>
      </c>
      <c r="G36" s="22" t="n">
        <f aca="false">COUNTIFS('Observations '!$G:$G,"*"&amp;C36&amp;"*",'Observations '!$H:$H,IF(D36="","",D36),'Observations '!$D:$D,$G$2)</f>
        <v>1</v>
      </c>
      <c r="H36" s="22" t="n">
        <f aca="false">L36-E36-F36-G36</f>
        <v>-1</v>
      </c>
      <c r="I36" s="22" t="n">
        <f aca="false">COUNTIFS('Observations '!$G:$G,"*"&amp;C36&amp;"*",'Observations '!$H:$H,IF(D36="","",D36),'Observations '!$E:$E,$I$2)+COUNTIFS('Observations '!$G:$G,"*"&amp;C36&amp;"*",'Observations '!$H:$H,IF(D36="","",D36),'Observations '!$E:$E,$I$3)</f>
        <v>0</v>
      </c>
      <c r="J36" s="22" t="n">
        <f aca="false">COUNTIFS('Observations '!$G:$G,"*"&amp;C36&amp;"*",'Observations '!$H:$H,IF(D36="","",D36),'Observations '!$E:$E,$J$2)+COUNTIFS('Observations '!$G:$G,"*"&amp;C36&amp;"*",'Observations '!$H:$H,IF(D36="","",D36),'Observations '!$E:$E,$J$3)</f>
        <v>0</v>
      </c>
      <c r="K36" s="22" t="n">
        <f aca="false">COUNTIFS('Observations '!$G:$G,"*"&amp;C36&amp;"*",'Observations '!$H:$H,IF(D36="","",D36),'Observations '!$E:$E,$K$2)</f>
        <v>2</v>
      </c>
      <c r="L36" s="24" t="n">
        <f aca="false">SUM(I36:K36)</f>
        <v>2</v>
      </c>
    </row>
    <row r="37" customFormat="false" ht="15" hidden="false" customHeight="false" outlineLevel="0" collapsed="false">
      <c r="A37" s="2"/>
      <c r="B37" s="19" t="n">
        <v>32</v>
      </c>
      <c r="C37" s="20" t="s">
        <v>87</v>
      </c>
      <c r="D37" s="21"/>
      <c r="E37" s="22" t="n">
        <f aca="false">COUNTIFS('Observations '!$G:$G,"*"&amp;C37&amp;"*",'Observations '!$H:$H,IF(D37="","",D37),'Observations '!$D:$D,$E$2)</f>
        <v>0</v>
      </c>
      <c r="F37" s="23" t="n">
        <f aca="false">COUNTIFS('Observations '!$G:$G,"*"&amp;C37&amp;"*",'Observations '!$H:$H,IF(D37="","",D37),'Observations '!$D:$D,$F$2)+COUNTIFS('Observations '!$G:$G,"*"&amp;C37&amp;"*",'Observations '!$H:$H,IF(D37="","",D37),'Observations '!$D:$D,$F$3)</f>
        <v>3</v>
      </c>
      <c r="G37" s="22" t="n">
        <f aca="false">COUNTIFS('Observations '!$G:$G,"*"&amp;C37&amp;"*",'Observations '!$H:$H,IF(D37="","",D37),'Observations '!$D:$D,$G$2)</f>
        <v>4</v>
      </c>
      <c r="H37" s="22" t="n">
        <f aca="false">L37-E37-F37-G37</f>
        <v>-1</v>
      </c>
      <c r="I37" s="22" t="n">
        <f aca="false">COUNTIFS('Observations '!$G:$G,"*"&amp;C37&amp;"*",'Observations '!$H:$H,IF(D37="","",D37),'Observations '!$E:$E,$I$2)+COUNTIFS('Observations '!$G:$G,"*"&amp;C37&amp;"*",'Observations '!$H:$H,IF(D37="","",D37),'Observations '!$E:$E,$I$3)</f>
        <v>6</v>
      </c>
      <c r="J37" s="22" t="n">
        <f aca="false">COUNTIFS('Observations '!$G:$G,"*"&amp;C37&amp;"*",'Observations '!$H:$H,IF(D37="","",D37),'Observations '!$E:$E,$J$2)+COUNTIFS('Observations '!$G:$G,"*"&amp;C37&amp;"*",'Observations '!$H:$H,IF(D37="","",D37),'Observations '!$E:$E,$J$3)</f>
        <v>0</v>
      </c>
      <c r="K37" s="22" t="n">
        <f aca="false">COUNTIFS('Observations '!$G:$G,"*"&amp;C37&amp;"*",'Observations '!$H:$H,IF(D37="","",D37),'Observations '!$E:$E,$K$2)</f>
        <v>0</v>
      </c>
      <c r="L37" s="24" t="n">
        <f aca="false">SUM(I37:K37)</f>
        <v>6</v>
      </c>
    </row>
    <row r="38" customFormat="false" ht="15" hidden="false" customHeight="false" outlineLevel="0" collapsed="false">
      <c r="A38" s="2"/>
      <c r="B38" s="19" t="n">
        <v>33</v>
      </c>
      <c r="C38" s="20" t="s">
        <v>88</v>
      </c>
      <c r="D38" s="21"/>
      <c r="E38" s="22" t="n">
        <f aca="false">COUNTIFS('Observations '!$G:$G,"*"&amp;C38&amp;"*",'Observations '!$H:$H,IF(D38="","",D38),'Observations '!$D:$D,$E$2)</f>
        <v>0</v>
      </c>
      <c r="F38" s="23" t="n">
        <f aca="false">COUNTIFS('Observations '!$G:$G,"*"&amp;C38&amp;"*",'Observations '!$H:$H,IF(D38="","",D38),'Observations '!$D:$D,$F$2)+COUNTIFS('Observations '!$G:$G,"*"&amp;C38&amp;"*",'Observations '!$H:$H,IF(D38="","",D38),'Observations '!$D:$D,$F$3)</f>
        <v>0</v>
      </c>
      <c r="G38" s="22" t="n">
        <f aca="false">COUNTIFS('Observations '!$G:$G,"*"&amp;C38&amp;"*",'Observations '!$H:$H,IF(D38="","",D38),'Observations '!$D:$D,$G$2)</f>
        <v>1</v>
      </c>
      <c r="H38" s="22" t="n">
        <f aca="false">L38-E38-F38-G38</f>
        <v>-1</v>
      </c>
      <c r="I38" s="22" t="n">
        <f aca="false">COUNTIFS('Observations '!$G:$G,"*"&amp;C38&amp;"*",'Observations '!$H:$H,IF(D38="","",D38),'Observations '!$E:$E,$I$2)+COUNTIFS('Observations '!$G:$G,"*"&amp;C38&amp;"*",'Observations '!$H:$H,IF(D38="","",D38),'Observations '!$E:$E,$I$3)</f>
        <v>0</v>
      </c>
      <c r="J38" s="22" t="n">
        <f aca="false">COUNTIFS('Observations '!$G:$G,"*"&amp;C38&amp;"*",'Observations '!$H:$H,IF(D38="","",D38),'Observations '!$E:$E,$J$2)+COUNTIFS('Observations '!$G:$G,"*"&amp;C38&amp;"*",'Observations '!$H:$H,IF(D38="","",D38),'Observations '!$E:$E,$J$3)</f>
        <v>0</v>
      </c>
      <c r="K38" s="22" t="n">
        <f aca="false">COUNTIFS('Observations '!$G:$G,"*"&amp;C38&amp;"*",'Observations '!$H:$H,IF(D38="","",D38),'Observations '!$E:$E,$K$2)</f>
        <v>0</v>
      </c>
      <c r="L38" s="24" t="n">
        <f aca="false">SUM(I38:K38)</f>
        <v>0</v>
      </c>
    </row>
    <row r="39" customFormat="false" ht="15" hidden="false" customHeight="false" outlineLevel="0" collapsed="false">
      <c r="A39" s="2"/>
      <c r="B39" s="19" t="n">
        <v>34</v>
      </c>
      <c r="C39" s="20" t="s">
        <v>89</v>
      </c>
      <c r="D39" s="21"/>
      <c r="E39" s="22" t="n">
        <f aca="false">COUNTIFS('Observations '!$G:$G,"*"&amp;C39&amp;"*",'Observations '!$H:$H,IF(D39="","",D39),'Observations '!$D:$D,$E$2)</f>
        <v>0</v>
      </c>
      <c r="F39" s="23" t="n">
        <f aca="false">COUNTIFS('Observations '!$G:$G,"*"&amp;C39&amp;"*",'Observations '!$H:$H,IF(D39="","",D39),'Observations '!$D:$D,$F$2)+COUNTIFS('Observations '!$G:$G,"*"&amp;C39&amp;"*",'Observations '!$H:$H,IF(D39="","",D39),'Observations '!$D:$D,$F$3)</f>
        <v>3</v>
      </c>
      <c r="G39" s="22" t="n">
        <f aca="false">COUNTIFS('Observations '!$G:$G,"*"&amp;C39&amp;"*",'Observations '!$H:$H,IF(D39="","",D39),'Observations '!$D:$D,$G$2)</f>
        <v>0</v>
      </c>
      <c r="H39" s="22" t="n">
        <f aca="false">L39-E39-F39-G39</f>
        <v>3</v>
      </c>
      <c r="I39" s="22" t="n">
        <f aca="false">COUNTIFS('Observations '!$G:$G,"*"&amp;C39&amp;"*",'Observations '!$H:$H,IF(D39="","",D39),'Observations '!$E:$E,$I$2)+COUNTIFS('Observations '!$G:$G,"*"&amp;C39&amp;"*",'Observations '!$H:$H,IF(D39="","",D39),'Observations '!$E:$E,$I$3)</f>
        <v>6</v>
      </c>
      <c r="J39" s="22" t="n">
        <f aca="false">COUNTIFS('Observations '!$G:$G,"*"&amp;C39&amp;"*",'Observations '!$H:$H,IF(D39="","",D39),'Observations '!$E:$E,$J$2)+COUNTIFS('Observations '!$G:$G,"*"&amp;C39&amp;"*",'Observations '!$H:$H,IF(D39="","",D39),'Observations '!$E:$E,$J$3)</f>
        <v>0</v>
      </c>
      <c r="K39" s="22" t="n">
        <f aca="false">COUNTIFS('Observations '!$G:$G,"*"&amp;C39&amp;"*",'Observations '!$H:$H,IF(D39="","",D39),'Observations '!$E:$E,$K$2)</f>
        <v>0</v>
      </c>
      <c r="L39" s="24" t="n">
        <f aca="false">SUM(I39:K39)</f>
        <v>6</v>
      </c>
    </row>
    <row r="40" customFormat="false" ht="15" hidden="false" customHeight="false" outlineLevel="0" collapsed="false">
      <c r="A40" s="2"/>
      <c r="B40" s="19" t="n">
        <v>35</v>
      </c>
      <c r="C40" s="20"/>
      <c r="D40" s="21"/>
      <c r="E40" s="22" t="n">
        <f aca="false">COUNTIFS('Observations '!$G:$G,"*"&amp;C40&amp;"*",'Observations '!$H:$H,IF(D40="","",D40),'Observations '!$D:$D,$E$2)</f>
        <v>3</v>
      </c>
      <c r="F40" s="23" t="n">
        <f aca="false">COUNTIFS('Observations '!$G:$G,"*"&amp;C40&amp;"*",'Observations '!$H:$H,IF(D40="","",D40),'Observations '!$D:$D,$F$2)+COUNTIFS('Observations '!$G:$G,"*"&amp;C40&amp;"*",'Observations '!$H:$H,IF(D40="","",D40),'Observations '!$D:$D,$F$3)</f>
        <v>18</v>
      </c>
      <c r="G40" s="22" t="n">
        <f aca="false">COUNTIFS('Observations '!$G:$G,"*"&amp;C40&amp;"*",'Observations '!$H:$H,IF(D40="","",D40),'Observations '!$D:$D,$G$2)</f>
        <v>12</v>
      </c>
      <c r="H40" s="22" t="n">
        <v>0</v>
      </c>
      <c r="I40" s="22" t="n">
        <f aca="false">COUNTIFS('Observations '!$G:$G,"*"&amp;C40&amp;"*",'Observations '!$H:$H,IF(D40="","",D40),'Observations '!$E:$E,$I$2)+COUNTIFS('Observations '!$G:$G,"*"&amp;C40&amp;"*",'Observations '!$H:$H,IF(D40="","",D40),'Observations '!$E:$E,$I$3)</f>
        <v>18</v>
      </c>
      <c r="J40" s="22" t="n">
        <f aca="false">COUNTIFS('Observations '!$G:$G,"*"&amp;C40&amp;"*",'Observations '!$H:$H,IF(D40="","",D40),'Observations '!$E:$E,$J$2)+COUNTIFS('Observations '!$G:$G,"*"&amp;C40&amp;"*",'Observations '!$H:$H,IF(D40="","",D40),'Observations '!$E:$E,$J$3)</f>
        <v>12</v>
      </c>
      <c r="K40" s="22" t="n">
        <f aca="false">COUNTIFS('Observations '!$G:$G,"*"&amp;C40&amp;"*",'Observations '!$H:$H,IF(D40="","",D40),'Observations '!$E:$E,$K$2)</f>
        <v>5</v>
      </c>
      <c r="L40" s="24" t="n">
        <f aca="false">SUM(I40:K40)</f>
        <v>35</v>
      </c>
    </row>
    <row r="41" customFormat="false" ht="15" hidden="false" customHeight="false" outlineLevel="0" collapsed="false">
      <c r="A41" s="2"/>
      <c r="B41" s="19" t="n">
        <v>36</v>
      </c>
      <c r="C41" s="20" t="s">
        <v>70</v>
      </c>
      <c r="D41" s="21" t="s">
        <v>90</v>
      </c>
      <c r="E41" s="22" t="n">
        <f aca="false">COUNTIFS('Observations '!$G:$G,"*"&amp;C41&amp;"*",'Observations '!$H:$H,IF(D41="","",D41),'Observations '!$D:$D,$E$2)</f>
        <v>0</v>
      </c>
      <c r="F41" s="23" t="n">
        <f aca="false">COUNTIFS('Observations '!$G:$G,"*"&amp;C41&amp;"*",'Observations '!$H:$H,IF(D41="","",D41),'Observations '!$D:$D,$F$2)+COUNTIFS('Observations '!$G:$G,"*"&amp;C41&amp;"*",'Observations '!$H:$H,IF(D41="","",D41),'Observations '!$D:$D,$F$3)</f>
        <v>1</v>
      </c>
      <c r="G41" s="22" t="n">
        <f aca="false">COUNTIFS('Observations '!$G:$G,"*"&amp;C41&amp;"*",'Observations '!$H:$H,IF(D41="","",D41),'Observations '!$D:$D,$G$2)</f>
        <v>0</v>
      </c>
      <c r="H41" s="22" t="n">
        <f aca="false">L41-E41-F41-G41</f>
        <v>1</v>
      </c>
      <c r="I41" s="22" t="n">
        <f aca="false">COUNTIFS('Observations '!$G:$G,"*"&amp;C41&amp;"*",'Observations '!$H:$H,IF(D41="","",D41),'Observations '!$E:$E,$I$2)+COUNTIFS('Observations '!$G:$G,"*"&amp;C41&amp;"*",'Observations '!$H:$H,IF(D41="","",D41),'Observations '!$E:$E,$I$3)</f>
        <v>0</v>
      </c>
      <c r="J41" s="22" t="n">
        <f aca="false">COUNTIFS('Observations '!$G:$G,"*"&amp;C41&amp;"*",'Observations '!$H:$H,IF(D41="","",D41),'Observations '!$E:$E,$J$2)+COUNTIFS('Observations '!$G:$G,"*"&amp;C41&amp;"*",'Observations '!$H:$H,IF(D41="","",D41),'Observations '!$E:$E,$J$3)</f>
        <v>2</v>
      </c>
      <c r="K41" s="22" t="n">
        <f aca="false">COUNTIFS('Observations '!$G:$G,"*"&amp;C41&amp;"*",'Observations '!$H:$H,IF(D41="","",D41),'Observations '!$E:$E,$K$2)</f>
        <v>0</v>
      </c>
      <c r="L41" s="24" t="n">
        <f aca="false">SUM(I41:K41)</f>
        <v>2</v>
      </c>
    </row>
    <row r="42" customFormat="false" ht="15" hidden="false" customHeight="false" outlineLevel="0" collapsed="false">
      <c r="A42" s="2"/>
      <c r="B42" s="19" t="n">
        <v>37</v>
      </c>
      <c r="C42" s="20" t="s">
        <v>66</v>
      </c>
      <c r="D42" s="21" t="s">
        <v>91</v>
      </c>
      <c r="E42" s="22" t="n">
        <f aca="false">COUNTIFS('Observations '!$G:$G,"*"&amp;C42&amp;"*",'Observations '!$H:$H,IF(D42="","",D42),'Observations '!$D:$D,$E$2)</f>
        <v>0</v>
      </c>
      <c r="F42" s="23" t="n">
        <f aca="false">COUNTIFS('Observations '!$G:$G,"*"&amp;C42&amp;"*",'Observations '!$H:$H,IF(D42="","",D42),'Observations '!$D:$D,$F$2)+COUNTIFS('Observations '!$G:$G,"*"&amp;C42&amp;"*",'Observations '!$H:$H,IF(D42="","",D42),'Observations '!$D:$D,$F$3)</f>
        <v>1</v>
      </c>
      <c r="G42" s="22" t="n">
        <f aca="false">COUNTIFS('Observations '!$G:$G,"*"&amp;C42&amp;"*",'Observations '!$H:$H,IF(D42="","",D42),'Observations '!$D:$D,$G$2)</f>
        <v>0</v>
      </c>
      <c r="H42" s="22" t="n">
        <f aca="false">L42-E42-F42-G42</f>
        <v>0</v>
      </c>
      <c r="I42" s="22" t="n">
        <f aca="false">COUNTIFS('Observations '!$G:$G,"*"&amp;C42&amp;"*",'Observations '!$H:$H,IF(D42="","",D42),'Observations '!$E:$E,$I$2)+COUNTIFS('Observations '!$G:$G,"*"&amp;C42&amp;"*",'Observations '!$H:$H,IF(D42="","",D42),'Observations '!$E:$E,$I$3)</f>
        <v>0</v>
      </c>
      <c r="J42" s="22" t="n">
        <f aca="false">COUNTIFS('Observations '!$G:$G,"*"&amp;C42&amp;"*",'Observations '!$H:$H,IF(D42="","",D42),'Observations '!$E:$E,$J$2)+COUNTIFS('Observations '!$G:$G,"*"&amp;C42&amp;"*",'Observations '!$H:$H,IF(D42="","",D42),'Observations '!$E:$E,$J$3)</f>
        <v>0</v>
      </c>
      <c r="K42" s="22" t="n">
        <f aca="false">COUNTIFS('Observations '!$G:$G,"*"&amp;C42&amp;"*",'Observations '!$H:$H,IF(D42="","",D42),'Observations '!$E:$E,$K$2)</f>
        <v>1</v>
      </c>
      <c r="L42" s="24" t="n">
        <f aca="false">SUM(I42:K42)</f>
        <v>1</v>
      </c>
    </row>
    <row r="43" customFormat="false" ht="15" hidden="false" customHeight="false" outlineLevel="0" collapsed="false">
      <c r="A43" s="2"/>
      <c r="B43" s="19" t="n">
        <v>38</v>
      </c>
      <c r="C43" s="20" t="s">
        <v>92</v>
      </c>
      <c r="D43" s="21"/>
      <c r="E43" s="22" t="n">
        <f aca="false">COUNTIFS('Observations '!$G:$G,"*"&amp;C43&amp;"*",'Observations '!$H:$H,IF(D43="","",D43),'Observations '!$D:$D,$E$2)</f>
        <v>0</v>
      </c>
      <c r="F43" s="23" t="n">
        <f aca="false">COUNTIFS('Observations '!$G:$G,"*"&amp;C43&amp;"*",'Observations '!$H:$H,IF(D43="","",D43),'Observations '!$D:$D,$F$2)+COUNTIFS('Observations '!$G:$G,"*"&amp;C43&amp;"*",'Observations '!$H:$H,IF(D43="","",D43),'Observations '!$D:$D,$F$3)</f>
        <v>1</v>
      </c>
      <c r="G43" s="22" t="n">
        <f aca="false">COUNTIFS('Observations '!$G:$G,"*"&amp;C43&amp;"*",'Observations '!$H:$H,IF(D43="","",D43),'Observations '!$D:$D,$G$2)</f>
        <v>0</v>
      </c>
      <c r="H43" s="22" t="n">
        <f aca="false">L43-E43-F43-G43</f>
        <v>1</v>
      </c>
      <c r="I43" s="22" t="n">
        <f aca="false">COUNTIFS('Observations '!$G:$G,"*"&amp;C43&amp;"*",'Observations '!$H:$H,IF(D43="","",D43),'Observations '!$E:$E,$I$2)+COUNTIFS('Observations '!$G:$G,"*"&amp;C43&amp;"*",'Observations '!$H:$H,IF(D43="","",D43),'Observations '!$E:$E,$I$3)</f>
        <v>2</v>
      </c>
      <c r="J43" s="22" t="n">
        <f aca="false">COUNTIFS('Observations '!$G:$G,"*"&amp;C43&amp;"*",'Observations '!$H:$H,IF(D43="","",D43),'Observations '!$E:$E,$J$2)+COUNTIFS('Observations '!$G:$G,"*"&amp;C43&amp;"*",'Observations '!$H:$H,IF(D43="","",D43),'Observations '!$E:$E,$J$3)</f>
        <v>0</v>
      </c>
      <c r="K43" s="22" t="n">
        <f aca="false">COUNTIFS('Observations '!$G:$G,"*"&amp;C43&amp;"*",'Observations '!$H:$H,IF(D43="","",D43),'Observations '!$E:$E,$K$2)</f>
        <v>0</v>
      </c>
      <c r="L43" s="24" t="n">
        <f aca="false">SUM(I43:K43)</f>
        <v>2</v>
      </c>
    </row>
    <row r="44" customFormat="false" ht="15" hidden="false" customHeight="false" outlineLevel="0" collapsed="false">
      <c r="A44" s="2"/>
      <c r="B44" s="19" t="n">
        <v>39</v>
      </c>
      <c r="C44" s="20" t="s">
        <v>93</v>
      </c>
      <c r="D44" s="21"/>
      <c r="E44" s="22" t="n">
        <v>0</v>
      </c>
      <c r="F44" s="23" t="n">
        <f aca="false">COUNTIFS('Observations '!$G:$G,"*"&amp;C44&amp;"*",'Observations '!$H:$H,IF(D44="","",D44),'Observations '!$D:$D,$F$2)+COUNTIFS('Observations '!$G:$G,"*"&amp;C44&amp;"*",'Observations '!$H:$H,IF(D44="","",D44),'Observations '!$D:$D,$F$3)</f>
        <v>1</v>
      </c>
      <c r="G44" s="22" t="n">
        <f aca="false">COUNTIFS('Observations '!$G:$G,"*"&amp;C44&amp;"*",'Observations '!$H:$H,IF(D44="","",D44),'Observations '!$D:$D,$G$2)</f>
        <v>0</v>
      </c>
      <c r="H44" s="22" t="n">
        <f aca="false">L44-E44-F44-G44</f>
        <v>1</v>
      </c>
      <c r="I44" s="22" t="n">
        <f aca="false">COUNTIFS('Observations '!$G:$G,"*"&amp;C44&amp;"*",'Observations '!$H:$H,IF(D44="","",D44),'Observations '!$E:$E,$I$2)+COUNTIFS('Observations '!$G:$G,"*"&amp;C44&amp;"*",'Observations '!$H:$H,IF(D44="","",D44),'Observations '!$E:$E,$I$3)</f>
        <v>2</v>
      </c>
      <c r="J44" s="22" t="n">
        <f aca="false">COUNTIFS('Observations '!$G:$G,"*"&amp;C44&amp;"*",'Observations '!$H:$H,IF(D44="","",D44),'Observations '!$E:$E,$J$2)+COUNTIFS('Observations '!$G:$G,"*"&amp;C44&amp;"*",'Observations '!$H:$H,IF(D44="","",D44),'Observations '!$E:$E,$J$3)</f>
        <v>0</v>
      </c>
      <c r="K44" s="22" t="n">
        <f aca="false">COUNTIFS('Observations '!$G:$G,"*"&amp;C44&amp;"*",'Observations '!$H:$H,IF(D44="","",D44),'Observations '!$E:$E,$K$2)</f>
        <v>0</v>
      </c>
      <c r="L44" s="24" t="n">
        <f aca="false">SUM(I44:K44)</f>
        <v>2</v>
      </c>
    </row>
    <row r="45" customFormat="false" ht="15" hidden="false" customHeight="false" outlineLevel="0" collapsed="false">
      <c r="A45" s="2"/>
      <c r="B45" s="19" t="n">
        <v>40</v>
      </c>
      <c r="C45" s="20" t="s">
        <v>94</v>
      </c>
      <c r="D45" s="21"/>
      <c r="E45" s="22" t="n">
        <v>0</v>
      </c>
      <c r="F45" s="23" t="n">
        <f aca="false">COUNTIFS('Observations '!$G:$G,"*"&amp;C45&amp;"*",'Observations '!$H:$H,IF(D45="","",D45),'Observations '!$D:$D,$F$2)+COUNTIFS('Observations '!$G:$G,"*"&amp;C45&amp;"*",'Observations '!$H:$H,IF(D45="","",D45),'Observations '!$D:$D,$F$3)</f>
        <v>0</v>
      </c>
      <c r="G45" s="22" t="n">
        <f aca="false">COUNTIFS('Observations '!$G:$G,"*"&amp;C45&amp;"*",'Observations '!$H:$H,IF(D45="","",D45),'Observations '!$D:$D,$G$2)</f>
        <v>0</v>
      </c>
      <c r="H45" s="22" t="n">
        <f aca="false">L45-E45-F45-G45</f>
        <v>0</v>
      </c>
      <c r="I45" s="22" t="n">
        <f aca="false">COUNTIFS('Observations '!$G:$G,"*"&amp;C45&amp;"*",'Observations '!$H:$H,IF(D45="","",D45),'Observations '!$E:$E,$I$2)+COUNTIFS('Observations '!$G:$G,"*"&amp;C45&amp;"*",'Observations '!$H:$H,IF(D45="","",D45),'Observations '!$E:$E,$I$3)</f>
        <v>0</v>
      </c>
      <c r="J45" s="22" t="n">
        <f aca="false">COUNTIFS('Observations '!$G:$G,"*"&amp;C45&amp;"*",'Observations '!$H:$H,IF(D45="","",D45),'Observations '!$E:$E,$J$2)+COUNTIFS('Observations '!$G:$G,"*"&amp;C45&amp;"*",'Observations '!$H:$H,IF(D45="","",D45),'Observations '!$E:$E,$J$3)</f>
        <v>0</v>
      </c>
      <c r="K45" s="22" t="n">
        <f aca="false">COUNTIFS('Observations '!$G:$G,"*"&amp;C45&amp;"*",'Observations '!$H:$H,IF(D45="","",D45),'Observations '!$E:$E,$K$2)</f>
        <v>0</v>
      </c>
      <c r="L45" s="24" t="n">
        <f aca="false">SUM(I45:K45)</f>
        <v>0</v>
      </c>
    </row>
    <row r="46" customFormat="false" ht="15" hidden="false" customHeight="false" outlineLevel="0" collapsed="false">
      <c r="A46" s="2"/>
      <c r="B46" s="19" t="n">
        <v>41</v>
      </c>
      <c r="C46" s="20" t="s">
        <v>61</v>
      </c>
      <c r="D46" s="21" t="s">
        <v>95</v>
      </c>
      <c r="E46" s="22" t="n">
        <v>0</v>
      </c>
      <c r="F46" s="23" t="n">
        <f aca="false">COUNTIFS('Observations '!$G:$G,"*"&amp;C46&amp;"*",'Observations '!$H:$H,IF(D46="","",D46),'Observations '!$D:$D,$F$2)+COUNTIFS('Observations '!$G:$G,"*"&amp;C46&amp;"*",'Observations '!$H:$H,IF(D46="","",D46),'Observations '!$D:$D,$F$3)</f>
        <v>0</v>
      </c>
      <c r="G46" s="22" t="n">
        <f aca="false">COUNTIFS('Observations '!$G:$G,"*"&amp;C46&amp;"*",'Observations '!$H:$H,IF(D46="","",D46),'Observations '!$D:$D,$G$2)</f>
        <v>1</v>
      </c>
      <c r="H46" s="22" t="n">
        <f aca="false">L46-E46-F46-G46</f>
        <v>-1</v>
      </c>
      <c r="I46" s="22" t="n">
        <f aca="false">COUNTIFS('Observations '!$G:$G,"*"&amp;C46&amp;"*",'Observations '!$H:$H,IF(D46="","",D46),'Observations '!$E:$E,$I$2)+COUNTIFS('Observations '!$G:$G,"*"&amp;C46&amp;"*",'Observations '!$H:$H,IF(D46="","",D46),'Observations '!$E:$E,$I$3)</f>
        <v>0</v>
      </c>
      <c r="J46" s="22" t="n">
        <f aca="false">COUNTIFS('Observations '!$G:$G,"*"&amp;C46&amp;"*",'Observations '!$H:$H,IF(D46="","",D46),'Observations '!$E:$E,$J$2)+COUNTIFS('Observations '!$G:$G,"*"&amp;C46&amp;"*",'Observations '!$H:$H,IF(D46="","",D46),'Observations '!$E:$E,$J$3)</f>
        <v>0</v>
      </c>
      <c r="K46" s="22" t="n">
        <f aca="false">COUNTIFS('Observations '!$G:$G,"*"&amp;C46&amp;"*",'Observations '!$H:$H,IF(D46="","",D46),'Observations '!$E:$E,$K$2)</f>
        <v>0</v>
      </c>
      <c r="L46" s="24" t="n">
        <f aca="false">SUM(I46:K46)</f>
        <v>0</v>
      </c>
    </row>
    <row r="47" customFormat="false" ht="15" hidden="false" customHeight="false" outlineLevel="0" collapsed="false">
      <c r="A47" s="2"/>
      <c r="B47" s="19" t="n">
        <v>42</v>
      </c>
      <c r="C47" s="20" t="s">
        <v>96</v>
      </c>
      <c r="D47" s="21" t="s">
        <v>97</v>
      </c>
      <c r="E47" s="22" t="n">
        <v>0</v>
      </c>
      <c r="F47" s="23" t="n">
        <f aca="false">COUNTIFS('Observations '!$G:$G,"*"&amp;C47&amp;"*",'Observations '!$H:$H,IF(D47="","",D47),'Observations '!$D:$D,$F$2)+COUNTIFS('Observations '!$G:$G,"*"&amp;C47&amp;"*",'Observations '!$H:$H,IF(D47="","",D47),'Observations '!$D:$D,$F$3)</f>
        <v>0</v>
      </c>
      <c r="G47" s="22" t="n">
        <f aca="false">COUNTIFS('Observations '!$G:$G,"*"&amp;C47&amp;"*",'Observations '!$H:$H,IF(D47="","",D47),'Observations '!$D:$D,$G$2)</f>
        <v>2</v>
      </c>
      <c r="H47" s="22" t="n">
        <f aca="false">L47-E47-F47-G47</f>
        <v>-2</v>
      </c>
      <c r="I47" s="22" t="n">
        <f aca="false">COUNTIFS('Observations '!$G:$G,"*"&amp;C47&amp;"*",'Observations '!$H:$H,IF(D47="","",D47),'Observations '!$E:$E,$I$2)+COUNTIFS('Observations '!$G:$G,"*"&amp;C47&amp;"*",'Observations '!$H:$H,IF(D47="","",D47),'Observations '!$E:$E,$I$3)</f>
        <v>0</v>
      </c>
      <c r="J47" s="22" t="n">
        <f aca="false">COUNTIFS('Observations '!$G:$G,"*"&amp;C47&amp;"*",'Observations '!$H:$H,IF(D47="","",D47),'Observations '!$E:$E,$J$2)+COUNTIFS('Observations '!$G:$G,"*"&amp;C47&amp;"*",'Observations '!$H:$H,IF(D47="","",D47),'Observations '!$E:$E,$J$3)</f>
        <v>0</v>
      </c>
      <c r="K47" s="22" t="n">
        <f aca="false">COUNTIFS('Observations '!$G:$G,"*"&amp;C47&amp;"*",'Observations '!$H:$H,IF(D47="","",D47),'Observations '!$E:$E,$K$2)</f>
        <v>0</v>
      </c>
      <c r="L47" s="24" t="n">
        <f aca="false">SUM(I47:K47)</f>
        <v>0</v>
      </c>
    </row>
    <row r="48" customFormat="false" ht="15" hidden="false" customHeight="false" outlineLevel="0" collapsed="false">
      <c r="A48" s="2"/>
      <c r="B48" s="19" t="n">
        <v>43</v>
      </c>
      <c r="C48" s="20" t="s">
        <v>71</v>
      </c>
      <c r="D48" s="21" t="s">
        <v>98</v>
      </c>
      <c r="E48" s="22" t="n">
        <v>0</v>
      </c>
      <c r="F48" s="23" t="n">
        <f aca="false">COUNTIFS('Observations '!$G:$G,"*"&amp;C48&amp;"*",'Observations '!$H:$H,IF(D48="","",D48),'Observations '!$D:$D,$F$2)+COUNTIFS('Observations '!$G:$G,"*"&amp;C48&amp;"*",'Observations '!$H:$H,IF(D48="","",D48),'Observations '!$D:$D,$F$3)</f>
        <v>0</v>
      </c>
      <c r="G48" s="22" t="n">
        <f aca="false">COUNTIFS('Observations '!$G:$G,"*"&amp;C48&amp;"*",'Observations '!$H:$H,IF(D48="","",D48),'Observations '!$D:$D,$G$2)</f>
        <v>1</v>
      </c>
      <c r="H48" s="22" t="n">
        <f aca="false">L48-E48-F48-G48</f>
        <v>-1</v>
      </c>
      <c r="I48" s="22" t="n">
        <f aca="false">COUNTIFS('Observations '!$G:$G,"*"&amp;C48&amp;"*",'Observations '!$H:$H,IF(D48="","",D48),'Observations '!$E:$E,$I$2)+COUNTIFS('Observations '!$G:$G,"*"&amp;C48&amp;"*",'Observations '!$H:$H,IF(D48="","",D48),'Observations '!$E:$E,$I$3)</f>
        <v>0</v>
      </c>
      <c r="J48" s="22" t="n">
        <f aca="false">COUNTIFS('Observations '!$G:$G,"*"&amp;C48&amp;"*",'Observations '!$H:$H,IF(D48="","",D48),'Observations '!$E:$E,$J$2)+COUNTIFS('Observations '!$G:$G,"*"&amp;C48&amp;"*",'Observations '!$H:$H,IF(D48="","",D48),'Observations '!$E:$E,$J$3)</f>
        <v>0</v>
      </c>
      <c r="K48" s="22" t="n">
        <f aca="false">COUNTIFS('Observations '!$G:$G,"*"&amp;C48&amp;"*",'Observations '!$H:$H,IF(D48="","",D48),'Observations '!$E:$E,$K$2)</f>
        <v>0</v>
      </c>
      <c r="L48" s="24" t="n">
        <f aca="false">SUM(I48:K48)</f>
        <v>0</v>
      </c>
    </row>
    <row r="49" customFormat="false" ht="15" hidden="false" customHeight="false" outlineLevel="0" collapsed="false">
      <c r="A49" s="2"/>
      <c r="B49" s="19" t="n">
        <v>44</v>
      </c>
      <c r="C49" s="20" t="s">
        <v>99</v>
      </c>
      <c r="D49" s="21" t="s">
        <v>100</v>
      </c>
      <c r="E49" s="22" t="n">
        <v>0</v>
      </c>
      <c r="F49" s="23" t="n">
        <f aca="false">COUNTIFS('Observations '!$G:$G,"*"&amp;C49&amp;"*",'Observations '!$H:$H,IF(D49="","",D49),'Observations '!$D:$D,$F$2)+COUNTIFS('Observations '!$G:$G,"*"&amp;C49&amp;"*",'Observations '!$H:$H,IF(D49="","",D49),'Observations '!$D:$D,$F$3)</f>
        <v>0</v>
      </c>
      <c r="G49" s="22" t="n">
        <f aca="false">COUNTIFS('Observations '!$G:$G,"*"&amp;C49&amp;"*",'Observations '!$H:$H,IF(D49="","",D49),'Observations '!$D:$D,$G$2)</f>
        <v>0</v>
      </c>
      <c r="H49" s="22" t="n">
        <f aca="false">L49-E49-F49-G49</f>
        <v>0</v>
      </c>
      <c r="I49" s="22" t="n">
        <f aca="false">COUNTIFS('Observations '!$G:$G,"*"&amp;C49&amp;"*",'Observations '!$H:$H,IF(D49="","",D49),'Observations '!$E:$E,$I$2)+COUNTIFS('Observations '!$G:$G,"*"&amp;C49&amp;"*",'Observations '!$H:$H,IF(D49="","",D49),'Observations '!$E:$E,$I$3)</f>
        <v>0</v>
      </c>
      <c r="J49" s="22" t="n">
        <f aca="false">COUNTIFS('Observations '!$G:$G,"*"&amp;C49&amp;"*",'Observations '!$H:$H,IF(D49="","",D49),'Observations '!$E:$E,$J$2)+COUNTIFS('Observations '!$G:$G,"*"&amp;C49&amp;"*",'Observations '!$H:$H,IF(D49="","",D49),'Observations '!$E:$E,$J$3)</f>
        <v>0</v>
      </c>
      <c r="K49" s="22" t="n">
        <f aca="false">COUNTIFS('Observations '!$G:$G,"*"&amp;C49&amp;"*",'Observations '!$H:$H,IF(D49="","",D49),'Observations '!$E:$E,$K$2)</f>
        <v>0</v>
      </c>
      <c r="L49" s="24" t="n">
        <f aca="false">SUM(I49:K49)</f>
        <v>0</v>
      </c>
    </row>
    <row r="50" customFormat="false" ht="15" hidden="false" customHeight="false" outlineLevel="0" collapsed="false">
      <c r="A50" s="2"/>
      <c r="B50" s="25"/>
      <c r="C50" s="20"/>
      <c r="D50" s="11"/>
      <c r="E50" s="25"/>
      <c r="F50" s="25"/>
      <c r="G50" s="25"/>
      <c r="H50" s="25"/>
      <c r="I50" s="25"/>
      <c r="J50" s="25"/>
      <c r="K50" s="25"/>
      <c r="L50" s="25"/>
    </row>
    <row r="51" customFormat="false" ht="15" hidden="false" customHeight="false" outlineLevel="0" collapsed="false">
      <c r="A51" s="2"/>
      <c r="B51" s="25"/>
      <c r="C51" s="20"/>
      <c r="D51" s="11"/>
      <c r="E51" s="25"/>
      <c r="F51" s="25"/>
      <c r="G51" s="25"/>
      <c r="H51" s="25"/>
      <c r="I51" s="25"/>
      <c r="J51" s="25"/>
      <c r="K51" s="25"/>
      <c r="L51" s="25"/>
    </row>
    <row r="52" customFormat="false" ht="15" hidden="false" customHeight="false" outlineLevel="0" collapsed="false">
      <c r="A52" s="2"/>
      <c r="B52" s="25"/>
      <c r="C52" s="20" t="s">
        <v>9</v>
      </c>
      <c r="D52" s="11"/>
      <c r="E52" s="25" t="n">
        <f aca="false">SUM(E6:E49)</f>
        <v>17</v>
      </c>
      <c r="F52" s="25" t="n">
        <f aca="false">SUM(F6:F49)</f>
        <v>55</v>
      </c>
      <c r="G52" s="25" t="n">
        <f aca="false">SUM(G6:G49)</f>
        <v>31</v>
      </c>
      <c r="H52" s="25" t="n">
        <f aca="false">SUM(H6:H49)</f>
        <v>18</v>
      </c>
      <c r="I52" s="25" t="n">
        <f aca="false">SUM(I6:I49)</f>
        <v>60</v>
      </c>
      <c r="J52" s="25" t="n">
        <f aca="false">SUM(J6:J49)</f>
        <v>46</v>
      </c>
      <c r="K52" s="25" t="n">
        <f aca="false">SUM(K6:K49)</f>
        <v>17</v>
      </c>
      <c r="L52" s="25" t="n">
        <f aca="false">SUM(L6:L49)</f>
        <v>123</v>
      </c>
    </row>
    <row r="53" customFormat="false" ht="15" hidden="false" customHeight="false" outlineLevel="0" collapsed="false">
      <c r="A53" s="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A54" s="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5" hidden="false" customHeight="false" outlineLevel="0" collapsed="false">
      <c r="A55" s="2"/>
      <c r="B55" s="19"/>
      <c r="D55" s="21"/>
      <c r="E55" s="22"/>
      <c r="F55" s="23"/>
      <c r="G55" s="22"/>
      <c r="H55" s="22"/>
      <c r="I55" s="22"/>
      <c r="J55" s="22"/>
      <c r="K55" s="22"/>
      <c r="L55" s="24"/>
    </row>
    <row r="56" customFormat="false" ht="15" hidden="false" customHeight="false" outlineLevel="0" collapsed="false">
      <c r="A56" s="2"/>
      <c r="B56" s="19"/>
      <c r="D56" s="21"/>
      <c r="E56" s="22"/>
      <c r="F56" s="23"/>
      <c r="G56" s="22"/>
      <c r="H56" s="22"/>
      <c r="I56" s="22"/>
      <c r="J56" s="22"/>
      <c r="K56" s="22"/>
      <c r="L56" s="24"/>
    </row>
    <row r="57" customFormat="false" ht="15" hidden="false" customHeight="false" outlineLevel="0" collapsed="false">
      <c r="A57" s="2"/>
      <c r="B57" s="19"/>
      <c r="D57" s="21"/>
      <c r="E57" s="22"/>
      <c r="F57" s="23"/>
      <c r="G57" s="22"/>
      <c r="H57" s="22"/>
      <c r="I57" s="22"/>
      <c r="J57" s="22"/>
      <c r="K57" s="22"/>
      <c r="L57" s="24"/>
    </row>
    <row r="58" customFormat="false" ht="15" hidden="false" customHeight="false" outlineLevel="0" collapsed="false">
      <c r="A58" s="2"/>
      <c r="B58" s="19"/>
      <c r="D58" s="21"/>
      <c r="E58" s="22"/>
      <c r="F58" s="23"/>
      <c r="G58" s="22"/>
      <c r="H58" s="22"/>
      <c r="I58" s="22"/>
      <c r="J58" s="22"/>
      <c r="K58" s="22"/>
      <c r="L58" s="24"/>
    </row>
    <row r="59" customFormat="false" ht="15" hidden="false" customHeight="false" outlineLevel="0" collapsed="false">
      <c r="A59" s="2"/>
      <c r="B59" s="19"/>
      <c r="D59" s="21"/>
      <c r="E59" s="22"/>
      <c r="F59" s="23"/>
      <c r="G59" s="22"/>
      <c r="H59" s="22"/>
      <c r="I59" s="22"/>
      <c r="J59" s="22"/>
      <c r="K59" s="22"/>
      <c r="L59" s="24"/>
    </row>
    <row r="60" customFormat="false" ht="15" hidden="false" customHeight="false" outlineLevel="0" collapsed="false">
      <c r="A60" s="2"/>
      <c r="B60" s="19"/>
      <c r="D60" s="21"/>
      <c r="E60" s="22"/>
      <c r="F60" s="23"/>
      <c r="G60" s="22"/>
      <c r="H60" s="22"/>
      <c r="I60" s="22"/>
      <c r="J60" s="22"/>
      <c r="K60" s="22"/>
      <c r="L60" s="24"/>
    </row>
    <row r="61" customFormat="false" ht="15" hidden="false" customHeight="false" outlineLevel="0" collapsed="false">
      <c r="A61" s="2"/>
      <c r="B61" s="19"/>
      <c r="D61" s="21"/>
      <c r="E61" s="22"/>
      <c r="F61" s="23"/>
      <c r="G61" s="22"/>
      <c r="H61" s="22"/>
      <c r="I61" s="22"/>
      <c r="J61" s="22"/>
      <c r="K61" s="22"/>
      <c r="L61" s="24"/>
    </row>
    <row r="62" customFormat="false" ht="15" hidden="false" customHeight="false" outlineLevel="0" collapsed="false">
      <c r="A62" s="2"/>
      <c r="B62" s="19"/>
      <c r="D62" s="21"/>
      <c r="E62" s="22"/>
      <c r="F62" s="23"/>
      <c r="G62" s="22"/>
      <c r="H62" s="22"/>
      <c r="I62" s="22"/>
      <c r="J62" s="22"/>
      <c r="K62" s="22"/>
      <c r="L62" s="24"/>
    </row>
    <row r="63" customFormat="false" ht="15" hidden="false" customHeight="false" outlineLevel="0" collapsed="false">
      <c r="A63" s="2"/>
      <c r="B63" s="19"/>
      <c r="D63" s="21"/>
      <c r="E63" s="22"/>
      <c r="F63" s="23"/>
      <c r="G63" s="22"/>
      <c r="H63" s="22"/>
      <c r="I63" s="22"/>
      <c r="J63" s="22"/>
      <c r="K63" s="22"/>
      <c r="L63" s="24"/>
    </row>
    <row r="64" customFormat="false" ht="15" hidden="false" customHeight="false" outlineLevel="0" collapsed="false">
      <c r="A64" s="2"/>
      <c r="B64" s="19"/>
      <c r="D64" s="21"/>
      <c r="E64" s="22"/>
      <c r="F64" s="23"/>
      <c r="G64" s="22"/>
      <c r="H64" s="22"/>
      <c r="I64" s="22"/>
      <c r="J64" s="22"/>
      <c r="K64" s="22"/>
      <c r="L64" s="24"/>
    </row>
    <row r="65" customFormat="false" ht="15" hidden="false" customHeight="false" outlineLevel="0" collapsed="false">
      <c r="A65" s="2"/>
      <c r="B65" s="19"/>
      <c r="D65" s="21"/>
      <c r="E65" s="22"/>
      <c r="F65" s="23"/>
      <c r="G65" s="22"/>
      <c r="H65" s="22"/>
      <c r="I65" s="22"/>
      <c r="J65" s="22"/>
      <c r="K65" s="22"/>
      <c r="L65" s="24"/>
    </row>
    <row r="66" customFormat="false" ht="15" hidden="false" customHeight="false" outlineLevel="0" collapsed="false">
      <c r="A66" s="2"/>
      <c r="B66" s="9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2"/>
      <c r="B67" s="9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2"/>
      <c r="B68" s="9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/>
      <c r="B69" s="9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2"/>
      <c r="B70" s="9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2"/>
      <c r="B71" s="9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2"/>
      <c r="B72" s="9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2"/>
      <c r="B73" s="9"/>
      <c r="D73" s="2"/>
      <c r="E73" s="2"/>
      <c r="F73" s="2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2"/>
      <c r="B74" s="9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2"/>
      <c r="B75" s="9"/>
      <c r="D75" s="2"/>
      <c r="E75" s="2"/>
      <c r="F75" s="2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2"/>
      <c r="B76" s="9"/>
      <c r="D76" s="2"/>
      <c r="E76" s="2"/>
      <c r="F76" s="2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2"/>
      <c r="B77" s="9"/>
      <c r="D77" s="2"/>
      <c r="E77" s="2"/>
      <c r="F77" s="2"/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2"/>
      <c r="B78" s="9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2"/>
      <c r="B79" s="9"/>
      <c r="D79" s="2"/>
      <c r="E79" s="2"/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2"/>
      <c r="B80" s="9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2"/>
      <c r="B81" s="9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2"/>
      <c r="B82" s="9"/>
      <c r="D82" s="2"/>
      <c r="E82" s="2"/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2"/>
      <c r="B83" s="9"/>
      <c r="D83" s="2"/>
      <c r="E83" s="2"/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2"/>
      <c r="B84" s="9"/>
      <c r="D84" s="2"/>
      <c r="E84" s="2"/>
      <c r="F84" s="2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2"/>
      <c r="B85" s="9"/>
      <c r="D85" s="2"/>
      <c r="E85" s="2"/>
      <c r="F85" s="2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2"/>
      <c r="B86" s="9"/>
      <c r="D86" s="2"/>
      <c r="E86" s="2"/>
      <c r="F86" s="2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2"/>
      <c r="B87" s="9"/>
      <c r="D87" s="2"/>
      <c r="E87" s="2"/>
      <c r="F87" s="2"/>
      <c r="G87" s="2"/>
      <c r="H87" s="2"/>
      <c r="I87" s="2"/>
      <c r="J87" s="2"/>
      <c r="K87" s="2"/>
      <c r="L87" s="2"/>
    </row>
    <row r="88" customFormat="false" ht="15" hidden="false" customHeight="false" outlineLevel="0" collapsed="false">
      <c r="A88" s="2"/>
      <c r="B88" s="9"/>
      <c r="D88" s="2"/>
      <c r="E88" s="2"/>
      <c r="F88" s="2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2"/>
      <c r="B89" s="9"/>
      <c r="D89" s="2"/>
      <c r="E89" s="2"/>
      <c r="F89" s="2"/>
      <c r="G89" s="2"/>
      <c r="H89" s="2"/>
      <c r="I89" s="2"/>
      <c r="J89" s="2"/>
      <c r="K89" s="2"/>
      <c r="L89" s="2"/>
    </row>
    <row r="90" customFormat="false" ht="15" hidden="false" customHeight="false" outlineLevel="0" collapsed="false">
      <c r="A90" s="2"/>
      <c r="B90" s="9"/>
      <c r="D90" s="2"/>
      <c r="E90" s="2"/>
      <c r="F90" s="2"/>
      <c r="G90" s="2"/>
      <c r="H90" s="2"/>
      <c r="I90" s="2"/>
      <c r="J90" s="2"/>
      <c r="K90" s="2"/>
      <c r="L90" s="2"/>
    </row>
    <row r="91" customFormat="false" ht="15" hidden="false" customHeight="false" outlineLevel="0" collapsed="false">
      <c r="A91" s="2"/>
      <c r="B91" s="9"/>
      <c r="D91" s="2"/>
      <c r="E91" s="2"/>
      <c r="F91" s="2"/>
      <c r="G91" s="2"/>
      <c r="H91" s="2"/>
      <c r="I91" s="2"/>
      <c r="J91" s="2"/>
      <c r="K91" s="2"/>
      <c r="L91" s="2"/>
    </row>
    <row r="92" customFormat="false" ht="15" hidden="false" customHeight="false" outlineLevel="0" collapsed="false">
      <c r="A92" s="2"/>
      <c r="B92" s="9"/>
      <c r="D92" s="2"/>
      <c r="E92" s="2"/>
      <c r="F92" s="2"/>
      <c r="G92" s="2"/>
      <c r="H92" s="2"/>
      <c r="I92" s="2"/>
      <c r="J92" s="2"/>
      <c r="K92" s="2"/>
      <c r="L92" s="2"/>
    </row>
    <row r="93" customFormat="false" ht="15" hidden="false" customHeight="false" outlineLevel="0" collapsed="false">
      <c r="A93" s="2"/>
      <c r="B93" s="9"/>
      <c r="D93" s="2"/>
      <c r="E93" s="2"/>
      <c r="F93" s="2"/>
      <c r="G93" s="2"/>
      <c r="H93" s="2"/>
      <c r="I93" s="2"/>
      <c r="J93" s="2"/>
      <c r="K93" s="2"/>
      <c r="L93" s="2"/>
    </row>
    <row r="94" customFormat="false" ht="15" hidden="false" customHeight="false" outlineLevel="0" collapsed="false">
      <c r="A94" s="2"/>
      <c r="B94" s="9"/>
      <c r="D94" s="2"/>
      <c r="E94" s="2"/>
      <c r="F94" s="2"/>
      <c r="G94" s="2"/>
      <c r="H94" s="2"/>
      <c r="I94" s="2"/>
      <c r="J94" s="2"/>
      <c r="K94" s="2"/>
      <c r="L94" s="2"/>
    </row>
    <row r="95" customFormat="false" ht="15" hidden="false" customHeight="false" outlineLevel="0" collapsed="false">
      <c r="A95" s="2"/>
      <c r="B95" s="9"/>
      <c r="D95" s="2"/>
      <c r="E95" s="2"/>
      <c r="F95" s="2"/>
      <c r="G95" s="2"/>
      <c r="H95" s="2"/>
      <c r="I95" s="2"/>
      <c r="J95" s="2"/>
      <c r="K95" s="2"/>
      <c r="L95" s="2"/>
    </row>
    <row r="96" customFormat="false" ht="15" hidden="false" customHeight="false" outlineLevel="0" collapsed="false">
      <c r="A96" s="2"/>
      <c r="B96" s="9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A97" s="2"/>
      <c r="B97" s="9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A98" s="2"/>
      <c r="B98" s="9"/>
      <c r="D98" s="2"/>
      <c r="E98" s="2"/>
      <c r="F98" s="2"/>
      <c r="G98" s="2"/>
      <c r="H98" s="2"/>
      <c r="I98" s="2"/>
      <c r="J98" s="2"/>
      <c r="K98" s="2"/>
      <c r="L98" s="2"/>
    </row>
    <row r="99" customFormat="false" ht="15" hidden="false" customHeight="false" outlineLevel="0" collapsed="false">
      <c r="A99" s="2"/>
      <c r="B99" s="9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2"/>
      <c r="B100" s="9"/>
      <c r="D100" s="2"/>
      <c r="E100" s="2"/>
      <c r="F100" s="2"/>
      <c r="G100" s="2"/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2"/>
      <c r="B101" s="9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2"/>
      <c r="B102" s="9"/>
      <c r="D102" s="2"/>
      <c r="E102" s="2"/>
      <c r="F102" s="2"/>
      <c r="G102" s="2"/>
      <c r="H102" s="2"/>
      <c r="I102" s="2"/>
      <c r="J102" s="2"/>
      <c r="K102" s="2"/>
      <c r="L102" s="2"/>
    </row>
    <row r="103" customFormat="false" ht="15" hidden="false" customHeight="false" outlineLevel="0" collapsed="false">
      <c r="A103" s="2"/>
      <c r="B103" s="9"/>
      <c r="D103" s="2"/>
      <c r="E103" s="2"/>
      <c r="F103" s="2"/>
      <c r="G103" s="2"/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2"/>
      <c r="B104" s="9"/>
      <c r="D104" s="2"/>
      <c r="E104" s="2"/>
      <c r="F104" s="2"/>
      <c r="G104" s="2"/>
      <c r="H104" s="2"/>
      <c r="I104" s="2"/>
      <c r="J104" s="2"/>
      <c r="K104" s="2"/>
      <c r="L104" s="2"/>
    </row>
    <row r="105" customFormat="false" ht="15" hidden="false" customHeight="false" outlineLevel="0" collapsed="false">
      <c r="A105" s="2"/>
      <c r="B105" s="9"/>
      <c r="D105" s="2"/>
      <c r="E105" s="2"/>
      <c r="F105" s="2"/>
      <c r="G105" s="2"/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2"/>
      <c r="B106" s="9"/>
      <c r="D106" s="2"/>
      <c r="E106" s="2"/>
      <c r="F106" s="2"/>
      <c r="G106" s="2"/>
      <c r="H106" s="2"/>
      <c r="I106" s="2"/>
      <c r="J106" s="2"/>
      <c r="K106" s="2"/>
      <c r="L106" s="2"/>
    </row>
    <row r="107" customFormat="false" ht="15" hidden="false" customHeight="false" outlineLevel="0" collapsed="false">
      <c r="A107" s="2"/>
      <c r="B107" s="9"/>
      <c r="D107" s="2"/>
      <c r="E107" s="2"/>
      <c r="F107" s="2"/>
      <c r="G107" s="2"/>
      <c r="H107" s="2"/>
      <c r="I107" s="2"/>
      <c r="J107" s="2"/>
      <c r="K107" s="2"/>
      <c r="L107" s="2"/>
    </row>
    <row r="108" customFormat="false" ht="15" hidden="false" customHeight="false" outlineLevel="0" collapsed="false">
      <c r="A108" s="2"/>
      <c r="B108" s="9"/>
      <c r="D108" s="2"/>
      <c r="E108" s="2"/>
      <c r="F108" s="2"/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/>
      <c r="B109" s="9"/>
      <c r="D109" s="2"/>
      <c r="E109" s="2"/>
      <c r="F109" s="2"/>
      <c r="G109" s="2"/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/>
      <c r="B110" s="9"/>
      <c r="D110" s="2"/>
      <c r="E110" s="2"/>
      <c r="F110" s="2"/>
      <c r="G110" s="2"/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/>
      <c r="B111" s="9"/>
      <c r="D111" s="2"/>
      <c r="E111" s="2"/>
      <c r="F111" s="2"/>
      <c r="G111" s="2"/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/>
      <c r="B112" s="9"/>
      <c r="D112" s="2"/>
      <c r="E112" s="2"/>
      <c r="F112" s="2"/>
      <c r="G112" s="2"/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/>
      <c r="B113" s="9"/>
      <c r="D113" s="2"/>
      <c r="E113" s="2"/>
      <c r="F113" s="2"/>
      <c r="G113" s="2"/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customFormat="false" ht="15" hidden="false" customHeight="fals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customFormat="false" ht="15" hidden="false" customHeight="fals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customFormat="false" ht="15" hidden="false" customHeight="fals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customFormat="false" ht="15" hidden="false" customHeight="fals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customFormat="false" ht="15" hidden="false" customHeight="fals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customFormat="false" ht="15" hidden="false" customHeight="fals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customFormat="false" ht="15" hidden="false" customHeight="fals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customFormat="false" ht="15" hidden="false" customHeight="fals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customFormat="false" ht="15" hidden="false" customHeight="fals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customFormat="false" ht="15" hidden="false" customHeight="fals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customFormat="false" ht="15" hidden="false" customHeight="fals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customFormat="false" ht="15" hidden="false" customHeight="fals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customFormat="false" ht="15" hidden="false" customHeight="fals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customFormat="false" ht="15" hidden="false" customHeight="fals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customFormat="false" ht="15" hidden="false" customHeight="fals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customFormat="false" ht="15" hidden="false" customHeight="fals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customFormat="false" ht="15" hidden="false" customHeight="fals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customFormat="false" ht="15" hidden="false" customHeight="fals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customFormat="false" ht="15" hidden="false" customHeight="fals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customFormat="false" ht="15" hidden="false" customHeight="fals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customFormat="false" ht="15" hidden="false" customHeight="fals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customFormat="false" ht="15" hidden="false" customHeight="fals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customFormat="false" ht="15" hidden="false" customHeight="fals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customFormat="false" ht="15" hidden="false" customHeight="fals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customFormat="false" ht="15" hidden="false" customHeight="fals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customFormat="false" ht="15" hidden="false" customHeight="fals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customFormat="false" ht="15" hidden="false" customHeight="fals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Format="false" ht="15" hidden="false" customHeight="fals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customFormat="false" ht="15" hidden="false" customHeight="fals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customFormat="false" ht="15" hidden="false" customHeight="fals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Format="false" ht="15" hidden="false" customHeight="fals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customFormat="false" ht="15" hidden="false" customHeight="fals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customFormat="false" ht="15" hidden="false" customHeight="fals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Format="false" ht="15" hidden="false" customHeight="fals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customFormat="false" ht="15" hidden="false" customHeight="fals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customFormat="false" ht="15" hidden="false" customHeight="fals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customFormat="false" ht="15" hidden="false" customHeight="fals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customFormat="false" ht="15" hidden="false" customHeight="fals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customFormat="false" ht="15" hidden="false" customHeight="fals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customFormat="false" ht="15" hidden="false" customHeight="fals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customFormat="false" ht="15" hidden="false" customHeight="fals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customFormat="false" ht="15" hidden="false" customHeight="fals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customFormat="false" ht="15" hidden="false" customHeight="fals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customFormat="false" ht="15" hidden="false" customHeight="fals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customFormat="false" ht="15" hidden="false" customHeight="fals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customFormat="false" ht="15" hidden="false" customHeight="fals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customFormat="false" ht="15" hidden="false" customHeight="fals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customFormat="false" ht="15" hidden="false" customHeight="fals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customFormat="false" ht="15" hidden="false" customHeight="fals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customFormat="false" ht="15" hidden="false" customHeight="fals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customFormat="false" ht="15" hidden="false" customHeight="fals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customFormat="false" ht="15" hidden="false" customHeight="fals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customFormat="false" ht="15" hidden="false" customHeight="fals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customFormat="false" ht="15" hidden="false" customHeight="fals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customFormat="false" ht="15" hidden="false" customHeight="fals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customFormat="false" ht="15" hidden="false" customHeight="fals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customFormat="false" ht="15" hidden="false" customHeight="fals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customFormat="false" ht="15" hidden="false" customHeight="fals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customFormat="false" ht="15" hidden="false" customHeight="fals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customFormat="false" ht="15" hidden="false" customHeight="fals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Format="false" ht="15" hidden="false" customHeight="fals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customFormat="false" ht="15" hidden="false" customHeight="fals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customFormat="false" ht="15" hidden="false" customHeight="fals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customFormat="false" ht="15" hidden="false" customHeight="fals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customFormat="false" ht="15" hidden="false" customHeight="fals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customFormat="false" ht="15" hidden="false" customHeight="fals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customFormat="false" ht="15" hidden="false" customHeight="fals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customFormat="false" ht="15" hidden="false" customHeight="fals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customFormat="false" ht="15" hidden="false" customHeight="fals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customFormat="false" ht="15" hidden="false" customHeight="fals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customFormat="false" ht="15" hidden="false" customHeight="fals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customFormat="false" ht="15" hidden="false" customHeight="fals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customFormat="false" ht="15" hidden="false" customHeight="fals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customFormat="false" ht="15" hidden="false" customHeight="fals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customFormat="false" ht="15" hidden="false" customHeight="fals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customFormat="false" ht="15" hidden="false" customHeight="fals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customFormat="false" ht="15" hidden="false" customHeight="fals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customFormat="false" ht="15" hidden="false" customHeight="fals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customFormat="false" ht="15" hidden="false" customHeight="fals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customFormat="false" ht="15" hidden="false" customHeight="fals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customFormat="false" ht="15" hidden="false" customHeight="fals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customFormat="false" ht="15" hidden="false" customHeight="fals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customFormat="false" ht="15" hidden="false" customHeight="fals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Format="false" ht="15" hidden="false" customHeight="fals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Format="false" ht="15" hidden="false" customHeight="fals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Format="false" ht="15" hidden="false" customHeight="fals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Format="false" ht="15" hidden="false" customHeight="fals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Format="false" ht="15" hidden="false" customHeight="fals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Format="false" ht="15" hidden="false" customHeight="fals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Format="false" ht="15" hidden="false" customHeight="fals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Format="false" ht="15" hidden="false" customHeight="fals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Format="false" ht="15" hidden="false" customHeight="fals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Format="false" ht="15" hidden="false" customHeight="fals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Format="false" ht="15" hidden="false" customHeight="fals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customFormat="false" ht="15" hidden="false" customHeight="fals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customFormat="false" ht="15" hidden="false" customHeight="fals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customFormat="false" ht="15" hidden="false" customHeight="fals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customFormat="false" ht="15" hidden="false" customHeight="fals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customFormat="false" ht="15" hidden="false" customHeight="fals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customFormat="false" ht="15" hidden="false" customHeight="fals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customFormat="false" ht="15" hidden="false" customHeight="fals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customFormat="false" ht="15" hidden="false" customHeight="fals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customFormat="false" ht="15" hidden="false" customHeight="fals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customFormat="false" ht="15" hidden="false" customHeight="fals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customFormat="false" ht="15" hidden="false" customHeight="fals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customFormat="false" ht="15" hidden="false" customHeight="fals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Format="false" ht="15" hidden="false" customHeight="fals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Format="false" ht="15" hidden="false" customHeight="fals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Format="false" ht="15" hidden="false" customHeight="fals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Format="false" ht="15" hidden="false" customHeight="fals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Format="false" ht="15" hidden="false" customHeight="fals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Format="false" ht="15" hidden="false" customHeight="fals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Format="false" ht="15" hidden="false" customHeight="fals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Format="false" ht="15" hidden="false" customHeight="fals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Format="false" ht="15" hidden="false" customHeight="fals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Format="false" ht="15" hidden="false" customHeight="fals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Format="false" ht="15" hidden="false" customHeight="fals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Format="false" ht="15" hidden="false" customHeight="fals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Format="false" ht="15" hidden="false" customHeight="fals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Format="false" ht="15" hidden="false" customHeight="fals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Format="false" ht="15" hidden="false" customHeight="fals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Format="false" ht="15" hidden="false" customHeight="fals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Format="false" ht="15" hidden="false" customHeight="fals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Format="false" ht="15" hidden="false" customHeight="fals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Format="false" ht="15" hidden="false" customHeight="fals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Format="false" ht="15" hidden="false" customHeight="fals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Format="false" ht="15" hidden="false" customHeight="fals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Format="false" ht="15" hidden="false" customHeight="fals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Format="false" ht="15" hidden="false" customHeight="fals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Format="false" ht="15" hidden="false" customHeight="fals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Format="false" ht="15" hidden="false" customHeight="fals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Format="false" ht="15" hidden="false" customHeight="fals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Format="false" ht="15" hidden="false" customHeight="fals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Format="false" ht="15" hidden="false" customHeight="fals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Format="false" ht="15" hidden="false" customHeight="fals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Format="false" ht="15" hidden="false" customHeight="fals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Format="false" ht="15" hidden="false" customHeight="fals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Format="false" ht="15" hidden="false" customHeight="fals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Format="false" ht="15" hidden="false" customHeight="fals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Format="false" ht="15" hidden="false" customHeight="fals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Format="false" ht="15" hidden="false" customHeight="fals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Format="false" ht="15" hidden="false" customHeight="fals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Format="false" ht="15" hidden="false" customHeight="fals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Format="false" ht="15" hidden="false" customHeight="fals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Format="false" ht="15" hidden="false" customHeight="fals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Format="false" ht="15" hidden="false" customHeight="fals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Format="false" ht="15" hidden="false" customHeight="fals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Format="false" ht="15" hidden="false" customHeight="fals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Format="false" ht="15" hidden="false" customHeight="fals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Format="false" ht="15" hidden="false" customHeight="fals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Format="false" ht="15" hidden="false" customHeight="fals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Format="false" ht="15" hidden="false" customHeight="fals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customFormat="false" ht="15" hidden="false" customHeight="fals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customFormat="false" ht="15" hidden="false" customHeight="fals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customFormat="false" ht="15" hidden="false" customHeight="fals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customFormat="false" ht="15" hidden="false" customHeight="fals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customFormat="false" ht="15" hidden="false" customHeight="fals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customFormat="false" ht="15" hidden="false" customHeight="fals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customFormat="false" ht="15" hidden="false" customHeight="fals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customFormat="false" ht="15" hidden="false" customHeight="fals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customFormat="false" ht="15" hidden="false" customHeight="fals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customFormat="false" ht="15" hidden="false" customHeight="fals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customFormat="false" ht="15" hidden="false" customHeight="fals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customFormat="false" ht="15" hidden="false" customHeight="fals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customFormat="false" ht="15" hidden="false" customHeight="fals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customFormat="false" ht="15" hidden="false" customHeight="fals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customFormat="false" ht="15" hidden="false" customHeight="fals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customFormat="false" ht="15" hidden="false" customHeight="fals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customFormat="false" ht="15" hidden="false" customHeight="fals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customFormat="false" ht="15" hidden="false" customHeight="fals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customFormat="false" ht="15" hidden="false" customHeight="fals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customFormat="false" ht="15" hidden="false" customHeight="fals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customFormat="false" ht="15" hidden="false" customHeight="fals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customFormat="false" ht="15" hidden="false" customHeight="fals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customFormat="false" ht="15" hidden="false" customHeight="fals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customFormat="false" ht="15" hidden="false" customHeight="fals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customFormat="false" ht="15" hidden="false" customHeight="fals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customFormat="false" ht="15" hidden="false" customHeight="fals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customFormat="false" ht="15" hidden="false" customHeight="fals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customFormat="false" ht="15" hidden="false" customHeight="fals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customFormat="false" ht="15" hidden="false" customHeight="fals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customFormat="false" ht="15" hidden="false" customHeight="fals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customFormat="false" ht="15" hidden="false" customHeight="fals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customFormat="false" ht="15" hidden="false" customHeight="fals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customFormat="false" ht="15" hidden="false" customHeight="fals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customFormat="false" ht="15" hidden="false" customHeight="fals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customFormat="false" ht="15" hidden="false" customHeight="fals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customFormat="false" ht="15" hidden="false" customHeight="fals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customFormat="false" ht="15" hidden="false" customHeight="fals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customFormat="false" ht="15" hidden="false" customHeight="fals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customFormat="false" ht="15" hidden="false" customHeight="fals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customFormat="false" ht="15" hidden="false" customHeight="fals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customFormat="false" ht="15" hidden="false" customHeight="fals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customFormat="false" ht="15" hidden="false" customHeight="fals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customFormat="false" ht="15" hidden="false" customHeight="fals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customFormat="false" ht="15" hidden="false" customHeight="fals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customFormat="false" ht="15" hidden="false" customHeight="fals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customFormat="false" ht="15" hidden="false" customHeight="fals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customFormat="false" ht="15" hidden="false" customHeight="fals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customFormat="false" ht="15" hidden="false" customHeight="fals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customFormat="false" ht="15" hidden="false" customHeight="fals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customFormat="false" ht="15" hidden="false" customHeight="fals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customFormat="false" ht="15" hidden="false" customHeight="fals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customFormat="false" ht="15" hidden="false" customHeight="fals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customFormat="false" ht="15" hidden="false" customHeight="fals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customFormat="false" ht="15" hidden="false" customHeight="fals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customFormat="false" ht="15" hidden="false" customHeight="fals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customFormat="false" ht="15" hidden="false" customHeight="fals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customFormat="false" ht="15" hidden="false" customHeight="fals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customFormat="false" ht="15" hidden="false" customHeight="fals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customFormat="false" ht="15" hidden="false" customHeight="fals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customFormat="false" ht="15" hidden="false" customHeight="fals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customFormat="false" ht="15" hidden="false" customHeight="fals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customFormat="false" ht="15" hidden="false" customHeight="fals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customFormat="false" ht="15" hidden="false" customHeight="fals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customFormat="false" ht="15" hidden="false" customHeight="fals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customFormat="false" ht="15" hidden="false" customHeight="fals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customFormat="false" ht="15" hidden="false" customHeight="fals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customFormat="false" ht="15" hidden="false" customHeight="fals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customFormat="false" ht="15" hidden="false" customHeight="fals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customFormat="false" ht="15" hidden="false" customHeight="fals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customFormat="false" ht="15" hidden="false" customHeight="fals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customFormat="false" ht="15" hidden="false" customHeight="fals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customFormat="false" ht="15" hidden="false" customHeight="fals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customFormat="false" ht="15" hidden="false" customHeight="fals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customFormat="false" ht="15" hidden="false" customHeight="fals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customFormat="false" ht="15" hidden="false" customHeight="fals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customFormat="false" ht="15" hidden="false" customHeight="fals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customFormat="false" ht="15" hidden="false" customHeight="fals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customFormat="false" ht="15" hidden="false" customHeight="fals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customFormat="false" ht="15" hidden="false" customHeight="fals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customFormat="false" ht="15" hidden="false" customHeight="fals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customFormat="false" ht="15" hidden="false" customHeight="fals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customFormat="false" ht="15" hidden="false" customHeight="fals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customFormat="false" ht="15" hidden="false" customHeight="fals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customFormat="false" ht="15" hidden="false" customHeight="fals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customFormat="false" ht="15" hidden="false" customHeight="fals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customFormat="false" ht="15" hidden="false" customHeight="fals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customFormat="false" ht="15" hidden="false" customHeight="fals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customFormat="false" ht="15" hidden="false" customHeight="fals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customFormat="false" ht="15" hidden="false" customHeight="fals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customFormat="false" ht="15" hidden="false" customHeight="fals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customFormat="false" ht="15" hidden="false" customHeight="fals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customFormat="false" ht="15" hidden="false" customHeight="fals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customFormat="false" ht="15" hidden="false" customHeight="fals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customFormat="false" ht="15" hidden="false" customHeight="fals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customFormat="false" ht="15" hidden="false" customHeight="fals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customFormat="false" ht="15" hidden="false" customHeight="fals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customFormat="false" ht="15" hidden="false" customHeight="fals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customFormat="false" ht="15" hidden="false" customHeight="fals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customFormat="false" ht="15" hidden="false" customHeight="fals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customFormat="false" ht="15" hidden="false" customHeight="fals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customFormat="false" ht="15" hidden="false" customHeight="fals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customFormat="false" ht="15" hidden="false" customHeight="fals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customFormat="false" ht="15" hidden="false" customHeight="fals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customFormat="false" ht="15" hidden="false" customHeight="fals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customFormat="false" ht="15" hidden="false" customHeight="fals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customFormat="false" ht="15" hidden="false" customHeight="fals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customFormat="false" ht="15" hidden="false" customHeight="fals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customFormat="false" ht="15" hidden="false" customHeight="fals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customFormat="false" ht="15" hidden="false" customHeight="fals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customFormat="false" ht="15" hidden="false" customHeight="fals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customFormat="false" ht="15" hidden="false" customHeight="fals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customFormat="false" ht="15" hidden="false" customHeight="fals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customFormat="false" ht="15" hidden="false" customHeight="fals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customFormat="false" ht="15" hidden="false" customHeight="fals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customFormat="false" ht="15" hidden="false" customHeight="fals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customFormat="false" ht="15" hidden="false" customHeight="fals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customFormat="false" ht="15" hidden="false" customHeight="fals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customFormat="false" ht="15" hidden="false" customHeight="fals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customFormat="false" ht="15" hidden="false" customHeight="fals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customFormat="false" ht="15" hidden="false" customHeight="fals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customFormat="false" ht="15" hidden="false" customHeight="fals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customFormat="false" ht="15" hidden="false" customHeight="fals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customFormat="false" ht="15" hidden="false" customHeight="fals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customFormat="false" ht="15" hidden="false" customHeight="fals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customFormat="false" ht="15" hidden="false" customHeight="fals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customFormat="false" ht="15" hidden="false" customHeight="fals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customFormat="false" ht="15" hidden="false" customHeight="fals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customFormat="false" ht="15" hidden="false" customHeight="fals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customFormat="false" ht="15" hidden="false" customHeight="fals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customFormat="false" ht="15" hidden="false" customHeight="fals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customFormat="false" ht="15" hidden="false" customHeight="fals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customFormat="false" ht="15" hidden="false" customHeight="fals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customFormat="false" ht="15" hidden="false" customHeight="fals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customFormat="false" ht="15" hidden="false" customHeight="fals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customFormat="false" ht="15" hidden="false" customHeight="fals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customFormat="false" ht="15" hidden="false" customHeight="fals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customFormat="false" ht="15" hidden="false" customHeight="fals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customFormat="false" ht="15" hidden="false" customHeight="fals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customFormat="false" ht="15" hidden="false" customHeight="fals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customFormat="false" ht="15" hidden="false" customHeight="fals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customFormat="false" ht="15" hidden="false" customHeight="fals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customFormat="false" ht="15" hidden="false" customHeight="fals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customFormat="false" ht="15" hidden="false" customHeight="fals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customFormat="false" ht="15" hidden="false" customHeight="fals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customFormat="false" ht="15" hidden="false" customHeight="fals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customFormat="false" ht="15" hidden="false" customHeight="fals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customFormat="false" ht="15" hidden="false" customHeight="fals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customFormat="false" ht="15" hidden="false" customHeight="fals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customFormat="false" ht="15" hidden="false" customHeight="fals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customFormat="false" ht="15" hidden="false" customHeight="fals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customFormat="false" ht="15" hidden="false" customHeight="fals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customFormat="false" ht="15" hidden="false" customHeight="fals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customFormat="false" ht="15" hidden="false" customHeight="fals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customFormat="false" ht="15" hidden="false" customHeight="fals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customFormat="false" ht="15" hidden="false" customHeight="fals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customFormat="false" ht="15" hidden="false" customHeight="fals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customFormat="false" ht="15" hidden="false" customHeight="fals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customFormat="false" ht="15" hidden="false" customHeight="fals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customFormat="false" ht="15" hidden="false" customHeight="fals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customFormat="false" ht="15" hidden="false" customHeight="fals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customFormat="false" ht="15" hidden="false" customHeight="fals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customFormat="false" ht="15" hidden="false" customHeight="fals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customFormat="false" ht="15" hidden="false" customHeight="fals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customFormat="false" ht="15" hidden="false" customHeight="fals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customFormat="false" ht="15" hidden="false" customHeight="fals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customFormat="false" ht="15" hidden="false" customHeight="fals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customFormat="false" ht="15" hidden="false" customHeight="fals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customFormat="false" ht="15" hidden="false" customHeight="fals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customFormat="false" ht="15" hidden="false" customHeight="fals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customFormat="false" ht="15" hidden="false" customHeight="fals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customFormat="false" ht="15" hidden="false" customHeight="fals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customFormat="false" ht="15" hidden="false" customHeight="fals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customFormat="false" ht="15" hidden="false" customHeight="fals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customFormat="false" ht="15" hidden="false" customHeight="fals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customFormat="false" ht="15" hidden="false" customHeight="fals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customFormat="false" ht="15" hidden="false" customHeight="fals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customFormat="false" ht="15" hidden="false" customHeight="fals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customFormat="false" ht="15" hidden="false" customHeight="fals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customFormat="false" ht="15" hidden="false" customHeight="fals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customFormat="false" ht="15" hidden="false" customHeight="fals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customFormat="false" ht="15" hidden="false" customHeight="fals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customFormat="false" ht="15" hidden="false" customHeight="fals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customFormat="false" ht="15" hidden="false" customHeight="fals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customFormat="false" ht="15" hidden="false" customHeight="fals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customFormat="false" ht="15" hidden="false" customHeight="fals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customFormat="false" ht="15" hidden="false" customHeight="fals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customFormat="false" ht="15" hidden="false" customHeight="fals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customFormat="false" ht="15" hidden="false" customHeight="fals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customFormat="false" ht="15" hidden="false" customHeight="fals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customFormat="false" ht="15" hidden="false" customHeight="fals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customFormat="false" ht="15" hidden="false" customHeight="fals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customFormat="false" ht="15" hidden="false" customHeight="fals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customFormat="false" ht="15" hidden="false" customHeight="fals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customFormat="false" ht="15" hidden="false" customHeight="fals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customFormat="false" ht="15" hidden="false" customHeight="fals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customFormat="false" ht="15" hidden="false" customHeight="fals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customFormat="false" ht="15" hidden="false" customHeight="fals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customFormat="false" ht="15" hidden="false" customHeight="fals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customFormat="false" ht="15" hidden="false" customHeight="fals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customFormat="false" ht="15" hidden="false" customHeight="fals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customFormat="false" ht="15" hidden="false" customHeight="fals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customFormat="false" ht="15" hidden="false" customHeight="fals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customFormat="false" ht="15" hidden="false" customHeight="fals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customFormat="false" ht="15" hidden="false" customHeight="fals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customFormat="false" ht="15" hidden="false" customHeight="fals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customFormat="false" ht="15" hidden="false" customHeight="fals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customFormat="false" ht="15" hidden="false" customHeight="fals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customFormat="false" ht="15" hidden="false" customHeight="fals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customFormat="false" ht="15" hidden="false" customHeight="fals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customFormat="false" ht="15" hidden="false" customHeight="fals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customFormat="false" ht="15" hidden="false" customHeight="fals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customFormat="false" ht="15" hidden="false" customHeight="fals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customFormat="false" ht="15" hidden="false" customHeight="fals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customFormat="false" ht="15" hidden="false" customHeight="fals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customFormat="false" ht="15" hidden="false" customHeight="fals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customFormat="false" ht="15" hidden="false" customHeight="fals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customFormat="false" ht="15" hidden="false" customHeight="fals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customFormat="false" ht="15" hidden="false" customHeight="fals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customFormat="false" ht="15" hidden="false" customHeight="fals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customFormat="false" ht="15" hidden="false" customHeight="fals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customFormat="false" ht="15" hidden="false" customHeight="fals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customFormat="false" ht="15" hidden="false" customHeight="fals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customFormat="false" ht="15" hidden="false" customHeight="fals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customFormat="false" ht="15" hidden="false" customHeight="fals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customFormat="false" ht="15" hidden="false" customHeight="fals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customFormat="false" ht="15" hidden="false" customHeight="fals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customFormat="false" ht="15" hidden="false" customHeight="fals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customFormat="false" ht="15" hidden="false" customHeight="fals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customFormat="false" ht="15" hidden="false" customHeight="fals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customFormat="false" ht="15" hidden="false" customHeight="fals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customFormat="false" ht="15" hidden="false" customHeight="fals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customFormat="false" ht="15" hidden="false" customHeight="fals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customFormat="false" ht="15" hidden="false" customHeight="fals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customFormat="false" ht="15" hidden="false" customHeight="fals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customFormat="false" ht="15" hidden="false" customHeight="fals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customFormat="false" ht="15" hidden="false" customHeight="fals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customFormat="false" ht="15" hidden="false" customHeight="fals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customFormat="false" ht="15" hidden="false" customHeight="fals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customFormat="false" ht="15" hidden="false" customHeight="fals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customFormat="false" ht="15" hidden="false" customHeight="fals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customFormat="false" ht="15" hidden="false" customHeight="fals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customFormat="false" ht="15" hidden="false" customHeight="fals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customFormat="false" ht="15" hidden="false" customHeight="fals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customFormat="false" ht="15" hidden="false" customHeight="fals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customFormat="false" ht="15" hidden="false" customHeight="fals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customFormat="false" ht="15" hidden="false" customHeight="fals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customFormat="false" ht="15" hidden="false" customHeight="fals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customFormat="false" ht="15" hidden="false" customHeight="fals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customFormat="false" ht="15" hidden="false" customHeight="fals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customFormat="false" ht="15" hidden="false" customHeight="fals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customFormat="false" ht="15" hidden="false" customHeight="fals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customFormat="false" ht="15" hidden="false" customHeight="fals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customFormat="false" ht="15" hidden="false" customHeight="fals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customFormat="false" ht="15" hidden="false" customHeight="fals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customFormat="false" ht="15" hidden="false" customHeight="fals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customFormat="false" ht="15" hidden="false" customHeight="fals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customFormat="false" ht="15" hidden="false" customHeight="fals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customFormat="false" ht="15" hidden="false" customHeight="fals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customFormat="false" ht="15" hidden="false" customHeight="fals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customFormat="false" ht="15" hidden="false" customHeight="fals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customFormat="false" ht="15" hidden="false" customHeight="fals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customFormat="false" ht="15" hidden="false" customHeight="fals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customFormat="false" ht="15" hidden="false" customHeight="fals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customFormat="false" ht="15" hidden="false" customHeight="fals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customFormat="false" ht="15" hidden="false" customHeight="fals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customFormat="false" ht="15" hidden="false" customHeight="fals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customFormat="false" ht="15" hidden="false" customHeight="fals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customFormat="false" ht="15" hidden="false" customHeight="fals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customFormat="false" ht="15" hidden="false" customHeight="fals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customFormat="false" ht="15" hidden="false" customHeight="fals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customFormat="false" ht="15" hidden="false" customHeight="fals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customFormat="false" ht="15" hidden="false" customHeight="fals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customFormat="false" ht="15" hidden="false" customHeight="fals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customFormat="false" ht="15" hidden="false" customHeight="fals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customFormat="false" ht="15" hidden="false" customHeight="fals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customFormat="false" ht="15" hidden="false" customHeight="fals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customFormat="false" ht="15" hidden="false" customHeight="fals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customFormat="false" ht="15" hidden="false" customHeight="fals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customFormat="false" ht="15" hidden="false" customHeight="fals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customFormat="false" ht="15" hidden="false" customHeight="fals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customFormat="false" ht="15" hidden="false" customHeight="fals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customFormat="false" ht="15" hidden="false" customHeight="fals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customFormat="false" ht="15" hidden="false" customHeight="fals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customFormat="false" ht="15" hidden="false" customHeight="fals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customFormat="false" ht="15" hidden="false" customHeight="fals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customFormat="false" ht="15" hidden="false" customHeight="fals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customFormat="false" ht="15" hidden="false" customHeight="fals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customFormat="false" ht="15" hidden="false" customHeight="fals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customFormat="false" ht="15" hidden="false" customHeight="fals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customFormat="false" ht="15" hidden="false" customHeight="fals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customFormat="false" ht="15" hidden="false" customHeight="fals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customFormat="false" ht="15" hidden="false" customHeight="fals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customFormat="false" ht="15" hidden="false" customHeight="fals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customFormat="false" ht="15" hidden="false" customHeight="fals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customFormat="false" ht="15" hidden="false" customHeight="fals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customFormat="false" ht="15" hidden="false" customHeight="fals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customFormat="false" ht="15" hidden="false" customHeight="fals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customFormat="false" ht="15" hidden="false" customHeight="fals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customFormat="false" ht="15" hidden="false" customHeight="fals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customFormat="false" ht="15" hidden="false" customHeight="fals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customFormat="false" ht="15" hidden="false" customHeight="fals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customFormat="false" ht="15" hidden="false" customHeight="fals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customFormat="false" ht="15" hidden="false" customHeight="fals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customFormat="false" ht="15" hidden="false" customHeight="fals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customFormat="false" ht="15" hidden="false" customHeight="fals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customFormat="false" ht="15" hidden="false" customHeight="fals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customFormat="false" ht="15" hidden="false" customHeight="fals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customFormat="false" ht="15" hidden="false" customHeight="fals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customFormat="false" ht="15" hidden="false" customHeight="fals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customFormat="false" ht="15" hidden="false" customHeight="fals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customFormat="false" ht="15" hidden="false" customHeight="fals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customFormat="false" ht="15" hidden="false" customHeight="fals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customFormat="false" ht="15" hidden="false" customHeight="fals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customFormat="false" ht="15" hidden="false" customHeight="fals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customFormat="false" ht="15" hidden="false" customHeight="fals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customFormat="false" ht="15" hidden="false" customHeight="fals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customFormat="false" ht="15" hidden="false" customHeight="fals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customFormat="false" ht="15" hidden="false" customHeight="fals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customFormat="false" ht="15" hidden="false" customHeight="fals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customFormat="false" ht="15" hidden="false" customHeight="fals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customFormat="false" ht="15" hidden="false" customHeight="fals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customFormat="false" ht="15" hidden="false" customHeight="fals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customFormat="false" ht="15" hidden="false" customHeight="fals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customFormat="false" ht="15" hidden="false" customHeight="fals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customFormat="false" ht="15" hidden="false" customHeight="fals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customFormat="false" ht="15" hidden="false" customHeight="fals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customFormat="false" ht="15" hidden="false" customHeight="fals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customFormat="false" ht="15" hidden="false" customHeight="fals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customFormat="false" ht="15" hidden="false" customHeight="fals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customFormat="false" ht="15" hidden="false" customHeight="fals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customFormat="false" ht="15" hidden="false" customHeight="fals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customFormat="false" ht="15" hidden="false" customHeight="fals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customFormat="false" ht="15" hidden="false" customHeight="fals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customFormat="false" ht="15" hidden="false" customHeight="fals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customFormat="false" ht="15" hidden="false" customHeight="fals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customFormat="false" ht="15" hidden="false" customHeight="fals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customFormat="false" ht="15" hidden="false" customHeight="fals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customFormat="false" ht="15" hidden="false" customHeight="fals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customFormat="false" ht="15" hidden="false" customHeight="fals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customFormat="false" ht="15" hidden="false" customHeight="fals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customFormat="false" ht="15" hidden="false" customHeight="fals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customFormat="false" ht="15" hidden="false" customHeight="fals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customFormat="false" ht="15" hidden="false" customHeight="fals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customFormat="false" ht="15" hidden="false" customHeight="fals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customFormat="false" ht="15" hidden="false" customHeight="fals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customFormat="false" ht="15" hidden="false" customHeight="fals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customFormat="false" ht="15" hidden="false" customHeight="fals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customFormat="false" ht="15" hidden="false" customHeight="fals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customFormat="false" ht="15" hidden="false" customHeight="fals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customFormat="false" ht="15" hidden="false" customHeight="fals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customFormat="false" ht="15" hidden="false" customHeight="fals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customFormat="false" ht="15" hidden="false" customHeight="fals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customFormat="false" ht="15" hidden="false" customHeight="fals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customFormat="false" ht="15" hidden="false" customHeight="fals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customFormat="false" ht="15" hidden="false" customHeight="fals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customFormat="false" ht="15" hidden="false" customHeight="fals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customFormat="false" ht="15" hidden="false" customHeight="fals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customFormat="false" ht="15" hidden="false" customHeight="fals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customFormat="false" ht="15" hidden="false" customHeight="fals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customFormat="false" ht="15" hidden="false" customHeight="fals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customFormat="false" ht="15" hidden="false" customHeight="fals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customFormat="false" ht="15" hidden="false" customHeight="fals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customFormat="false" ht="15" hidden="false" customHeight="fals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customFormat="false" ht="15" hidden="false" customHeight="fals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customFormat="false" ht="15" hidden="false" customHeight="fals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customFormat="false" ht="15" hidden="false" customHeight="fals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customFormat="false" ht="15" hidden="false" customHeight="fals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customFormat="false" ht="15" hidden="false" customHeight="fals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customFormat="false" ht="15" hidden="false" customHeight="fals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customFormat="false" ht="15" hidden="false" customHeight="fals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customFormat="false" ht="15" hidden="false" customHeight="fals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customFormat="false" ht="15" hidden="false" customHeight="fals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customFormat="false" ht="15" hidden="false" customHeight="fals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customFormat="false" ht="15" hidden="false" customHeight="fals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customFormat="false" ht="15" hidden="false" customHeight="fals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customFormat="false" ht="15" hidden="false" customHeight="fals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customFormat="false" ht="15" hidden="false" customHeight="fals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customFormat="false" ht="15" hidden="false" customHeight="fals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customFormat="false" ht="15" hidden="false" customHeight="fals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customFormat="false" ht="15" hidden="false" customHeight="fals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customFormat="false" ht="15" hidden="false" customHeight="fals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customFormat="false" ht="15" hidden="false" customHeight="fals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customFormat="false" ht="15" hidden="false" customHeight="fals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customFormat="false" ht="15" hidden="false" customHeight="fals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customFormat="false" ht="15" hidden="false" customHeight="fals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customFormat="false" ht="15" hidden="false" customHeight="fals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customFormat="false" ht="15" hidden="false" customHeight="fals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customFormat="false" ht="15" hidden="false" customHeight="fals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customFormat="false" ht="15" hidden="false" customHeight="fals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customFormat="false" ht="15" hidden="false" customHeight="fals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customFormat="false" ht="15" hidden="false" customHeight="fals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customFormat="false" ht="15" hidden="false" customHeight="fals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customFormat="false" ht="15" hidden="false" customHeight="fals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customFormat="false" ht="15" hidden="false" customHeight="fals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customFormat="false" ht="15" hidden="false" customHeight="fals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customFormat="false" ht="15" hidden="false" customHeight="fals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customFormat="false" ht="15" hidden="false" customHeight="fals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customFormat="false" ht="15" hidden="false" customHeight="fals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customFormat="false" ht="15" hidden="false" customHeight="fals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customFormat="false" ht="15" hidden="false" customHeight="fals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customFormat="false" ht="15" hidden="false" customHeight="fals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customFormat="false" ht="15" hidden="false" customHeight="fals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customFormat="false" ht="15" hidden="false" customHeight="fals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customFormat="false" ht="15" hidden="false" customHeight="fals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customFormat="false" ht="15" hidden="false" customHeight="fals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customFormat="false" ht="15" hidden="false" customHeight="fals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customFormat="false" ht="15" hidden="false" customHeight="fals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customFormat="false" ht="15" hidden="false" customHeight="fals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customFormat="false" ht="15" hidden="false" customHeight="fals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customFormat="false" ht="15" hidden="false" customHeight="fals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customFormat="false" ht="15" hidden="false" customHeight="fals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customFormat="false" ht="15" hidden="false" customHeight="fals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customFormat="false" ht="15" hidden="false" customHeight="fals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customFormat="false" ht="15" hidden="false" customHeight="fals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customFormat="false" ht="15" hidden="false" customHeight="fals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customFormat="false" ht="15" hidden="false" customHeight="fals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customFormat="false" ht="15" hidden="false" customHeight="fals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customFormat="false" ht="15" hidden="false" customHeight="fals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customFormat="false" ht="15" hidden="false" customHeight="fals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customFormat="false" ht="15" hidden="false" customHeight="fals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customFormat="false" ht="15" hidden="false" customHeight="fals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customFormat="false" ht="15" hidden="false" customHeight="fals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customFormat="false" ht="15" hidden="false" customHeight="fals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customFormat="false" ht="15" hidden="false" customHeight="fals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customFormat="false" ht="15" hidden="false" customHeight="fals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customFormat="false" ht="15" hidden="false" customHeight="fals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customFormat="false" ht="15" hidden="false" customHeight="fals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customFormat="false" ht="15" hidden="false" customHeight="fals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customFormat="false" ht="15" hidden="false" customHeight="fals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customFormat="false" ht="15" hidden="false" customHeight="fals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customFormat="false" ht="15" hidden="false" customHeight="fals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customFormat="false" ht="15" hidden="false" customHeight="fals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customFormat="false" ht="15" hidden="false" customHeight="fals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customFormat="false" ht="15" hidden="false" customHeight="fals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customFormat="false" ht="15" hidden="false" customHeight="fals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customFormat="false" ht="15" hidden="false" customHeight="fals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customFormat="false" ht="15" hidden="false" customHeight="fals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customFormat="false" ht="15" hidden="false" customHeight="fals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customFormat="false" ht="15" hidden="false" customHeight="fals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customFormat="false" ht="15" hidden="false" customHeight="fals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customFormat="false" ht="15" hidden="false" customHeight="fals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customFormat="false" ht="15" hidden="false" customHeight="fals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customFormat="false" ht="15" hidden="false" customHeight="fals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customFormat="false" ht="15" hidden="false" customHeight="fals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customFormat="false" ht="15" hidden="false" customHeight="fals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customFormat="false" ht="15" hidden="false" customHeight="fals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customFormat="false" ht="15" hidden="false" customHeight="fals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customFormat="false" ht="15" hidden="false" customHeight="fals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customFormat="false" ht="15" hidden="false" customHeight="fals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customFormat="false" ht="15" hidden="false" customHeight="fals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customFormat="false" ht="15" hidden="false" customHeight="fals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customFormat="false" ht="15" hidden="false" customHeight="fals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customFormat="false" ht="15" hidden="false" customHeight="fals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customFormat="false" ht="15" hidden="false" customHeight="fals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customFormat="false" ht="15" hidden="false" customHeight="fals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customFormat="false" ht="15" hidden="false" customHeight="fals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customFormat="false" ht="15" hidden="false" customHeight="fals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customFormat="false" ht="15" hidden="false" customHeight="fals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customFormat="false" ht="15" hidden="false" customHeight="fals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customFormat="false" ht="15" hidden="false" customHeight="fals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customFormat="false" ht="15" hidden="false" customHeight="fals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customFormat="false" ht="15" hidden="false" customHeight="fals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customFormat="false" ht="15" hidden="false" customHeight="fals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customFormat="false" ht="15" hidden="false" customHeight="fals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customFormat="false" ht="15" hidden="false" customHeight="fals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customFormat="false" ht="15" hidden="false" customHeight="fals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customFormat="false" ht="15" hidden="false" customHeight="fals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customFormat="false" ht="15" hidden="false" customHeight="fals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customFormat="false" ht="15" hidden="false" customHeight="fals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customFormat="false" ht="15" hidden="false" customHeight="fals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customFormat="false" ht="15" hidden="false" customHeight="fals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customFormat="false" ht="15" hidden="false" customHeight="fals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customFormat="false" ht="15" hidden="false" customHeight="fals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customFormat="false" ht="15" hidden="false" customHeight="fals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customFormat="false" ht="15" hidden="false" customHeight="fals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customFormat="false" ht="15" hidden="false" customHeight="fals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customFormat="false" ht="15" hidden="false" customHeight="fals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customFormat="false" ht="15" hidden="false" customHeight="fals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customFormat="false" ht="15" hidden="false" customHeight="fals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customFormat="false" ht="15" hidden="false" customHeight="fals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customFormat="false" ht="15" hidden="false" customHeight="fals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customFormat="false" ht="15" hidden="false" customHeight="fals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customFormat="false" ht="15" hidden="false" customHeight="fals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customFormat="false" ht="15" hidden="false" customHeight="fals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customFormat="false" ht="15" hidden="false" customHeight="fals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customFormat="false" ht="15" hidden="false" customHeight="fals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customFormat="false" ht="15" hidden="false" customHeight="fals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customFormat="false" ht="15" hidden="false" customHeight="fals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customFormat="false" ht="15" hidden="false" customHeight="fals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customFormat="false" ht="15" hidden="false" customHeight="fals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customFormat="false" ht="15" hidden="false" customHeight="fals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customFormat="false" ht="15" hidden="false" customHeight="fals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customFormat="false" ht="15" hidden="false" customHeight="fals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customFormat="false" ht="15" hidden="false" customHeight="fals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customFormat="false" ht="15" hidden="false" customHeight="fals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customFormat="false" ht="15" hidden="false" customHeight="fals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customFormat="false" ht="15" hidden="false" customHeight="fals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customFormat="false" ht="15" hidden="false" customHeight="fals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customFormat="false" ht="15" hidden="false" customHeight="fals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customFormat="false" ht="15" hidden="false" customHeight="fals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customFormat="false" ht="15" hidden="false" customHeight="fals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customFormat="false" ht="15" hidden="false" customHeight="fals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customFormat="false" ht="15" hidden="false" customHeight="fals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customFormat="false" ht="15" hidden="false" customHeight="fals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customFormat="false" ht="15" hidden="false" customHeight="fals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customFormat="false" ht="15" hidden="false" customHeight="fals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customFormat="false" ht="15" hidden="false" customHeight="fals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customFormat="false" ht="15" hidden="false" customHeight="fals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customFormat="false" ht="15" hidden="false" customHeight="fals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customFormat="false" ht="15" hidden="false" customHeight="fals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customFormat="false" ht="15" hidden="false" customHeight="fals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customFormat="false" ht="15" hidden="false" customHeight="fals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customFormat="false" ht="15" hidden="false" customHeight="fals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customFormat="false" ht="15" hidden="false" customHeight="fals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customFormat="false" ht="15" hidden="false" customHeight="fals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customFormat="false" ht="15" hidden="false" customHeight="fals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customFormat="false" ht="15" hidden="false" customHeight="fals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customFormat="false" ht="15" hidden="false" customHeight="fals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customFormat="false" ht="15" hidden="false" customHeight="fals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customFormat="false" ht="15" hidden="false" customHeight="fals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customFormat="false" ht="15" hidden="false" customHeight="fals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customFormat="false" ht="15" hidden="false" customHeight="fals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customFormat="false" ht="15" hidden="false" customHeight="fals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customFormat="false" ht="15" hidden="false" customHeight="fals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customFormat="false" ht="15" hidden="false" customHeight="fals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customFormat="false" ht="15" hidden="false" customHeight="fals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customFormat="false" ht="15" hidden="false" customHeight="fals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customFormat="false" ht="15" hidden="false" customHeight="fals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customFormat="false" ht="15" hidden="false" customHeight="fals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customFormat="false" ht="15" hidden="false" customHeight="fals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customFormat="false" ht="15" hidden="false" customHeight="fals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customFormat="false" ht="15" hidden="false" customHeight="fals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customFormat="false" ht="15" hidden="false" customHeight="fals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customFormat="false" ht="15" hidden="false" customHeight="fals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customFormat="false" ht="15" hidden="false" customHeight="fals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customFormat="false" ht="15" hidden="false" customHeight="fals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customFormat="false" ht="15" hidden="false" customHeight="fals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customFormat="false" ht="15" hidden="false" customHeight="fals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customFormat="false" ht="15" hidden="false" customHeight="fals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customFormat="false" ht="15" hidden="false" customHeight="fals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customFormat="false" ht="15" hidden="false" customHeight="fals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customFormat="false" ht="15" hidden="false" customHeight="fals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customFormat="false" ht="15" hidden="false" customHeight="fals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customFormat="false" ht="15" hidden="false" customHeight="fals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customFormat="false" ht="15" hidden="false" customHeight="fals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customFormat="false" ht="15" hidden="false" customHeight="fals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customFormat="false" ht="15" hidden="false" customHeight="fals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customFormat="false" ht="15" hidden="false" customHeight="fals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customFormat="false" ht="15" hidden="false" customHeight="fals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customFormat="false" ht="15" hidden="false" customHeight="fals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customFormat="false" ht="15" hidden="false" customHeight="fals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customFormat="false" ht="15" hidden="false" customHeight="fals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customFormat="false" ht="15" hidden="false" customHeight="fals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customFormat="false" ht="15" hidden="false" customHeight="fals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customFormat="false" ht="15" hidden="false" customHeight="fals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customFormat="false" ht="15" hidden="false" customHeight="fals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customFormat="false" ht="15" hidden="false" customHeight="fals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customFormat="false" ht="15" hidden="false" customHeight="fals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customFormat="false" ht="15" hidden="false" customHeight="fals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customFormat="false" ht="15" hidden="false" customHeight="fals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customFormat="false" ht="15" hidden="false" customHeight="fals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customFormat="false" ht="15" hidden="false" customHeight="fals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customFormat="false" ht="15" hidden="false" customHeight="fals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customFormat="false" ht="15" hidden="false" customHeight="fals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customFormat="false" ht="15" hidden="false" customHeight="fals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customFormat="false" ht="15" hidden="false" customHeight="fals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customFormat="false" ht="15" hidden="false" customHeight="fals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customFormat="false" ht="15" hidden="false" customHeight="fals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customFormat="false" ht="15" hidden="false" customHeight="fals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customFormat="false" ht="15" hidden="false" customHeight="fals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</row>
  </sheetData>
  <hyperlinks>
    <hyperlink ref="B5" r:id="rId1" display="S.N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7"/>
    <col collapsed="false" customWidth="true" hidden="true" outlineLevel="0" max="3" min="2" style="0" width="13.75"/>
    <col collapsed="false" customWidth="true" hidden="false" outlineLevel="0" max="4" min="4" style="0" width="14.75"/>
    <col collapsed="false" customWidth="true" hidden="false" outlineLevel="0" max="5" min="5" style="0" width="8.63"/>
    <col collapsed="false" customWidth="true" hidden="false" outlineLevel="0" max="6" min="6" style="0" width="12.5"/>
    <col collapsed="false" customWidth="true" hidden="false" outlineLevel="0" max="7" min="7" style="0" width="13.75"/>
    <col collapsed="false" customWidth="true" hidden="false" outlineLevel="0" max="8" min="8" style="0" width="10.13"/>
    <col collapsed="false" customWidth="true" hidden="true" outlineLevel="0" max="9" min="9" style="0" width="14.88"/>
    <col collapsed="false" customWidth="true" hidden="false" outlineLevel="0" max="10" min="10" style="0" width="24.38"/>
    <col collapsed="false" customWidth="true" hidden="false" outlineLevel="0" max="11" min="11" style="0" width="19.5"/>
    <col collapsed="false" customWidth="true" hidden="false" outlineLevel="0" max="12" min="12" style="0" width="22.13"/>
    <col collapsed="false" customWidth="true" hidden="false" outlineLevel="0" max="14" min="13" style="0" width="14.88"/>
    <col collapsed="false" customWidth="true" hidden="false" outlineLevel="0" max="27" min="15" style="0" width="13.75"/>
  </cols>
  <sheetData>
    <row r="1" customFormat="false" ht="48.75" hidden="false" customHeight="true" outlineLevel="0" collapsed="false">
      <c r="A1" s="26" t="s">
        <v>33</v>
      </c>
      <c r="B1" s="27" t="s">
        <v>101</v>
      </c>
      <c r="C1" s="27" t="s">
        <v>102</v>
      </c>
      <c r="D1" s="27" t="s">
        <v>103</v>
      </c>
      <c r="E1" s="27" t="s">
        <v>10</v>
      </c>
      <c r="F1" s="27" t="s">
        <v>104</v>
      </c>
      <c r="G1" s="27" t="s">
        <v>34</v>
      </c>
      <c r="H1" s="27" t="s">
        <v>35</v>
      </c>
      <c r="I1" s="28" t="s">
        <v>19</v>
      </c>
      <c r="J1" s="27" t="s">
        <v>105</v>
      </c>
      <c r="K1" s="27" t="s">
        <v>106</v>
      </c>
      <c r="L1" s="27" t="s">
        <v>107</v>
      </c>
      <c r="M1" s="28" t="s">
        <v>19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9"/>
    </row>
    <row r="2" customFormat="false" ht="48.75" hidden="false" customHeight="true" outlineLevel="0" collapsed="false">
      <c r="A2" s="30" t="n">
        <v>1</v>
      </c>
      <c r="B2" s="31" t="n">
        <v>46028</v>
      </c>
      <c r="C2" s="32" t="s">
        <v>108</v>
      </c>
      <c r="D2" s="32" t="s">
        <v>3</v>
      </c>
      <c r="E2" s="33" t="s">
        <v>17</v>
      </c>
      <c r="F2" s="33" t="s">
        <v>109</v>
      </c>
      <c r="G2" s="33" t="s">
        <v>42</v>
      </c>
      <c r="H2" s="33" t="s">
        <v>43</v>
      </c>
      <c r="I2" s="34" t="s">
        <v>110</v>
      </c>
      <c r="J2" s="33" t="s">
        <v>111</v>
      </c>
      <c r="K2" s="33" t="s">
        <v>112</v>
      </c>
      <c r="L2" s="33"/>
      <c r="M2" s="33" t="s">
        <v>110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6"/>
    </row>
    <row r="3" customFormat="false" ht="51.75" hidden="false" customHeight="true" outlineLevel="0" collapsed="false">
      <c r="A3" s="30" t="n">
        <v>2</v>
      </c>
      <c r="B3" s="31" t="n">
        <v>46028</v>
      </c>
      <c r="C3" s="32" t="s">
        <v>108</v>
      </c>
      <c r="D3" s="32" t="s">
        <v>3</v>
      </c>
      <c r="E3" s="33" t="s">
        <v>15</v>
      </c>
      <c r="F3" s="33" t="s">
        <v>109</v>
      </c>
      <c r="G3" s="33" t="s">
        <v>42</v>
      </c>
      <c r="H3" s="33" t="s">
        <v>44</v>
      </c>
      <c r="I3" s="34" t="s">
        <v>110</v>
      </c>
      <c r="J3" s="33" t="s">
        <v>113</v>
      </c>
      <c r="K3" s="33" t="s">
        <v>114</v>
      </c>
      <c r="L3" s="33" t="s">
        <v>115</v>
      </c>
      <c r="M3" s="33" t="s">
        <v>110</v>
      </c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6"/>
    </row>
    <row r="4" customFormat="false" ht="48.75" hidden="false" customHeight="true" outlineLevel="0" collapsed="false">
      <c r="A4" s="30" t="n">
        <v>3</v>
      </c>
      <c r="B4" s="31" t="n">
        <v>46028</v>
      </c>
      <c r="C4" s="32" t="s">
        <v>108</v>
      </c>
      <c r="D4" s="32" t="s">
        <v>3</v>
      </c>
      <c r="E4" s="33" t="s">
        <v>15</v>
      </c>
      <c r="F4" s="33" t="s">
        <v>109</v>
      </c>
      <c r="G4" s="33" t="s">
        <v>42</v>
      </c>
      <c r="H4" s="33" t="s">
        <v>45</v>
      </c>
      <c r="I4" s="33" t="s">
        <v>110</v>
      </c>
      <c r="J4" s="33" t="s">
        <v>116</v>
      </c>
      <c r="K4" s="33" t="s">
        <v>117</v>
      </c>
      <c r="L4" s="33" t="s">
        <v>118</v>
      </c>
      <c r="M4" s="33" t="s">
        <v>110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6"/>
    </row>
    <row r="5" customFormat="false" ht="66" hidden="false" customHeight="true" outlineLevel="0" collapsed="false">
      <c r="A5" s="30" t="n">
        <v>4</v>
      </c>
      <c r="B5" s="31" t="n">
        <v>46028</v>
      </c>
      <c r="C5" s="32" t="s">
        <v>108</v>
      </c>
      <c r="D5" s="32" t="s">
        <v>30</v>
      </c>
      <c r="E5" s="33" t="s">
        <v>17</v>
      </c>
      <c r="F5" s="33" t="s">
        <v>15</v>
      </c>
      <c r="G5" s="33" t="s">
        <v>42</v>
      </c>
      <c r="H5" s="33" t="s">
        <v>45</v>
      </c>
      <c r="I5" s="33" t="s">
        <v>110</v>
      </c>
      <c r="J5" s="33" t="s">
        <v>119</v>
      </c>
      <c r="K5" s="33" t="s">
        <v>120</v>
      </c>
      <c r="L5" s="33" t="s">
        <v>121</v>
      </c>
      <c r="M5" s="33" t="s">
        <v>110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</row>
    <row r="6" customFormat="false" ht="48.75" hidden="false" customHeight="true" outlineLevel="0" collapsed="false">
      <c r="A6" s="30" t="n">
        <v>5</v>
      </c>
      <c r="B6" s="31" t="n">
        <v>46028</v>
      </c>
      <c r="C6" s="32" t="s">
        <v>108</v>
      </c>
      <c r="D6" s="32" t="s">
        <v>3</v>
      </c>
      <c r="E6" s="33" t="s">
        <v>15</v>
      </c>
      <c r="F6" s="33" t="s">
        <v>17</v>
      </c>
      <c r="G6" s="33" t="s">
        <v>47</v>
      </c>
      <c r="H6" s="33" t="s">
        <v>48</v>
      </c>
      <c r="I6" s="33" t="s">
        <v>110</v>
      </c>
      <c r="J6" s="30" t="n">
        <v>404</v>
      </c>
      <c r="K6" s="33" t="s">
        <v>122</v>
      </c>
      <c r="L6" s="33" t="s">
        <v>123</v>
      </c>
      <c r="M6" s="33" t="s">
        <v>110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6"/>
    </row>
    <row r="7" customFormat="false" ht="48.75" hidden="false" customHeight="true" outlineLevel="0" collapsed="false">
      <c r="A7" s="30" t="n">
        <v>6</v>
      </c>
      <c r="B7" s="31" t="n">
        <v>46028</v>
      </c>
      <c r="C7" s="32" t="s">
        <v>108</v>
      </c>
      <c r="D7" s="32" t="s">
        <v>3</v>
      </c>
      <c r="E7" s="33" t="s">
        <v>15</v>
      </c>
      <c r="F7" s="33" t="s">
        <v>17</v>
      </c>
      <c r="G7" s="33" t="s">
        <v>47</v>
      </c>
      <c r="H7" s="33" t="s">
        <v>49</v>
      </c>
      <c r="I7" s="33" t="s">
        <v>110</v>
      </c>
      <c r="J7" s="30" t="n">
        <v>404</v>
      </c>
      <c r="K7" s="33" t="s">
        <v>122</v>
      </c>
      <c r="L7" s="33" t="s">
        <v>123</v>
      </c>
      <c r="M7" s="33" t="s">
        <v>110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6"/>
    </row>
    <row r="8" customFormat="false" ht="48.75" hidden="false" customHeight="true" outlineLevel="0" collapsed="false">
      <c r="A8" s="30" t="n">
        <v>7</v>
      </c>
      <c r="B8" s="31" t="n">
        <v>46028</v>
      </c>
      <c r="C8" s="32" t="s">
        <v>108</v>
      </c>
      <c r="D8" s="32" t="s">
        <v>3</v>
      </c>
      <c r="E8" s="33" t="s">
        <v>15</v>
      </c>
      <c r="F8" s="33" t="s">
        <v>17</v>
      </c>
      <c r="G8" s="33" t="s">
        <v>47</v>
      </c>
      <c r="H8" s="33" t="s">
        <v>50</v>
      </c>
      <c r="I8" s="33" t="s">
        <v>110</v>
      </c>
      <c r="J8" s="33" t="s">
        <v>124</v>
      </c>
      <c r="K8" s="33" t="s">
        <v>122</v>
      </c>
      <c r="L8" s="33" t="s">
        <v>125</v>
      </c>
      <c r="M8" s="33" t="s">
        <v>110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6"/>
    </row>
    <row r="9" customFormat="false" ht="48.75" hidden="false" customHeight="true" outlineLevel="0" collapsed="false">
      <c r="A9" s="30" t="n">
        <v>8</v>
      </c>
      <c r="B9" s="31" t="n">
        <v>46028</v>
      </c>
      <c r="C9" s="32" t="s">
        <v>108</v>
      </c>
      <c r="D9" s="32" t="s">
        <v>3</v>
      </c>
      <c r="E9" s="33" t="s">
        <v>15</v>
      </c>
      <c r="F9" s="33" t="s">
        <v>17</v>
      </c>
      <c r="G9" s="33" t="s">
        <v>47</v>
      </c>
      <c r="H9" s="33" t="s">
        <v>51</v>
      </c>
      <c r="I9" s="33" t="s">
        <v>110</v>
      </c>
      <c r="J9" s="33" t="s">
        <v>124</v>
      </c>
      <c r="K9" s="33" t="s">
        <v>122</v>
      </c>
      <c r="L9" s="33" t="s">
        <v>125</v>
      </c>
      <c r="M9" s="33" t="s">
        <v>110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</row>
    <row r="10" customFormat="false" ht="48.75" hidden="false" customHeight="true" outlineLevel="0" collapsed="false">
      <c r="A10" s="30" t="n">
        <v>9</v>
      </c>
      <c r="B10" s="31" t="n">
        <v>46028</v>
      </c>
      <c r="C10" s="32" t="s">
        <v>108</v>
      </c>
      <c r="D10" s="32" t="s">
        <v>3</v>
      </c>
      <c r="E10" s="33" t="s">
        <v>15</v>
      </c>
      <c r="F10" s="33" t="s">
        <v>17</v>
      </c>
      <c r="G10" s="33" t="s">
        <v>53</v>
      </c>
      <c r="H10" s="33" t="s">
        <v>54</v>
      </c>
      <c r="I10" s="33" t="s">
        <v>110</v>
      </c>
      <c r="J10" s="33" t="s">
        <v>124</v>
      </c>
      <c r="K10" s="33" t="s">
        <v>122</v>
      </c>
      <c r="L10" s="33" t="s">
        <v>125</v>
      </c>
      <c r="M10" s="33" t="s">
        <v>110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/>
    </row>
    <row r="11" customFormat="false" ht="48.75" hidden="false" customHeight="true" outlineLevel="0" collapsed="false">
      <c r="A11" s="30" t="n">
        <v>10</v>
      </c>
      <c r="B11" s="31" t="n">
        <v>46028</v>
      </c>
      <c r="C11" s="32" t="s">
        <v>108</v>
      </c>
      <c r="D11" s="32" t="s">
        <v>3</v>
      </c>
      <c r="E11" s="33" t="s">
        <v>15</v>
      </c>
      <c r="F11" s="33" t="s">
        <v>17</v>
      </c>
      <c r="G11" s="33" t="s">
        <v>56</v>
      </c>
      <c r="H11" s="33" t="s">
        <v>57</v>
      </c>
      <c r="I11" s="33" t="s">
        <v>110</v>
      </c>
      <c r="J11" s="33" t="s">
        <v>124</v>
      </c>
      <c r="K11" s="33" t="s">
        <v>122</v>
      </c>
      <c r="L11" s="33" t="s">
        <v>125</v>
      </c>
      <c r="M11" s="33" t="s">
        <v>110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</row>
    <row r="12" customFormat="false" ht="48.75" hidden="false" customHeight="true" outlineLevel="0" collapsed="false">
      <c r="A12" s="30" t="n">
        <v>11</v>
      </c>
      <c r="B12" s="31" t="n">
        <v>46028</v>
      </c>
      <c r="C12" s="32" t="s">
        <v>108</v>
      </c>
      <c r="D12" s="32" t="s">
        <v>3</v>
      </c>
      <c r="E12" s="33" t="s">
        <v>15</v>
      </c>
      <c r="F12" s="33" t="s">
        <v>17</v>
      </c>
      <c r="G12" s="33" t="s">
        <v>56</v>
      </c>
      <c r="H12" s="33" t="s">
        <v>58</v>
      </c>
      <c r="I12" s="33" t="s">
        <v>110</v>
      </c>
      <c r="J12" s="33" t="s">
        <v>124</v>
      </c>
      <c r="K12" s="33" t="s">
        <v>122</v>
      </c>
      <c r="L12" s="33" t="s">
        <v>125</v>
      </c>
      <c r="M12" s="33" t="s">
        <v>110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/>
    </row>
    <row r="13" customFormat="false" ht="48.75" hidden="false" customHeight="true" outlineLevel="0" collapsed="false">
      <c r="A13" s="30" t="n">
        <v>12</v>
      </c>
      <c r="B13" s="31" t="n">
        <v>46028</v>
      </c>
      <c r="C13" s="32" t="s">
        <v>108</v>
      </c>
      <c r="D13" s="32" t="s">
        <v>3</v>
      </c>
      <c r="E13" s="33" t="s">
        <v>15</v>
      </c>
      <c r="F13" s="33" t="s">
        <v>17</v>
      </c>
      <c r="G13" s="33" t="s">
        <v>56</v>
      </c>
      <c r="H13" s="33" t="s">
        <v>60</v>
      </c>
      <c r="I13" s="33" t="s">
        <v>110</v>
      </c>
      <c r="J13" s="33" t="s">
        <v>124</v>
      </c>
      <c r="K13" s="33" t="s">
        <v>122</v>
      </c>
      <c r="L13" s="33" t="s">
        <v>125</v>
      </c>
      <c r="M13" s="33" t="s">
        <v>110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</row>
    <row r="14" customFormat="false" ht="48.75" hidden="false" customHeight="true" outlineLevel="0" collapsed="false">
      <c r="A14" s="30" t="n">
        <v>13</v>
      </c>
      <c r="B14" s="31" t="n">
        <v>46028</v>
      </c>
      <c r="C14" s="32" t="s">
        <v>108</v>
      </c>
      <c r="D14" s="32" t="s">
        <v>29</v>
      </c>
      <c r="E14" s="33" t="s">
        <v>16</v>
      </c>
      <c r="F14" s="33" t="s">
        <v>126</v>
      </c>
      <c r="G14" s="33" t="s">
        <v>61</v>
      </c>
      <c r="H14" s="33" t="s">
        <v>62</v>
      </c>
      <c r="I14" s="33" t="s">
        <v>110</v>
      </c>
      <c r="J14" s="33" t="s">
        <v>127</v>
      </c>
      <c r="K14" s="33" t="s">
        <v>128</v>
      </c>
      <c r="L14" s="33" t="s">
        <v>129</v>
      </c>
      <c r="M14" s="33" t="s">
        <v>110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</row>
    <row r="15" customFormat="false" ht="48.75" hidden="false" customHeight="true" outlineLevel="0" collapsed="false">
      <c r="A15" s="30" t="n">
        <v>14</v>
      </c>
      <c r="B15" s="31" t="n">
        <v>46028</v>
      </c>
      <c r="C15" s="32" t="s">
        <v>108</v>
      </c>
      <c r="D15" s="32" t="s">
        <v>29</v>
      </c>
      <c r="E15" s="33" t="s">
        <v>16</v>
      </c>
      <c r="F15" s="33" t="s">
        <v>15</v>
      </c>
      <c r="G15" s="33" t="s">
        <v>61</v>
      </c>
      <c r="H15" s="33" t="s">
        <v>63</v>
      </c>
      <c r="I15" s="33" t="s">
        <v>130</v>
      </c>
      <c r="J15" s="33" t="s">
        <v>131</v>
      </c>
      <c r="K15" s="33" t="s">
        <v>132</v>
      </c>
      <c r="L15" s="33" t="s">
        <v>133</v>
      </c>
      <c r="M15" s="33" t="s">
        <v>130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/>
    </row>
    <row r="16" customFormat="false" ht="48.75" hidden="false" customHeight="true" outlineLevel="0" collapsed="false">
      <c r="A16" s="30" t="n">
        <v>15</v>
      </c>
      <c r="B16" s="31" t="n">
        <v>46028</v>
      </c>
      <c r="C16" s="32" t="s">
        <v>108</v>
      </c>
      <c r="D16" s="32" t="s">
        <v>29</v>
      </c>
      <c r="E16" s="33" t="s">
        <v>16</v>
      </c>
      <c r="F16" s="33" t="s">
        <v>17</v>
      </c>
      <c r="G16" s="33" t="s">
        <v>61</v>
      </c>
      <c r="H16" s="33" t="s">
        <v>65</v>
      </c>
      <c r="I16" s="33" t="s">
        <v>130</v>
      </c>
      <c r="J16" s="33" t="s">
        <v>134</v>
      </c>
      <c r="K16" s="33" t="s">
        <v>135</v>
      </c>
      <c r="L16" s="33" t="s">
        <v>136</v>
      </c>
      <c r="M16" s="33" t="s">
        <v>130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customFormat="false" ht="48.75" hidden="false" customHeight="true" outlineLevel="0" collapsed="false">
      <c r="A17" s="30" t="n">
        <v>16</v>
      </c>
      <c r="B17" s="31" t="n">
        <v>46028</v>
      </c>
      <c r="C17" s="32" t="s">
        <v>108</v>
      </c>
      <c r="D17" s="32" t="s">
        <v>29</v>
      </c>
      <c r="E17" s="33" t="s">
        <v>17</v>
      </c>
      <c r="F17" s="33" t="s">
        <v>126</v>
      </c>
      <c r="G17" s="33" t="s">
        <v>61</v>
      </c>
      <c r="H17" s="33" t="s">
        <v>65</v>
      </c>
      <c r="I17" s="33" t="s">
        <v>110</v>
      </c>
      <c r="J17" s="33" t="s">
        <v>137</v>
      </c>
      <c r="K17" s="33"/>
      <c r="L17" s="33" t="s">
        <v>138</v>
      </c>
      <c r="M17" s="33" t="s">
        <v>110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</row>
    <row r="18" customFormat="false" ht="48.75" hidden="false" customHeight="true" outlineLevel="0" collapsed="false">
      <c r="A18" s="30" t="n">
        <v>17</v>
      </c>
      <c r="B18" s="31" t="n">
        <v>46049</v>
      </c>
      <c r="C18" s="32" t="s">
        <v>108</v>
      </c>
      <c r="D18" s="32" t="s">
        <v>29</v>
      </c>
      <c r="E18" s="33" t="s">
        <v>16</v>
      </c>
      <c r="F18" s="33" t="s">
        <v>15</v>
      </c>
      <c r="G18" s="33" t="s">
        <v>66</v>
      </c>
      <c r="H18" s="37"/>
      <c r="I18" s="33" t="s">
        <v>110</v>
      </c>
      <c r="J18" s="37" t="s">
        <v>139</v>
      </c>
      <c r="K18" s="33" t="s">
        <v>140</v>
      </c>
      <c r="L18" s="33"/>
      <c r="M18" s="33" t="s">
        <v>110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customFormat="false" ht="48.75" hidden="false" customHeight="true" outlineLevel="0" collapsed="false">
      <c r="A19" s="30" t="n">
        <v>18</v>
      </c>
      <c r="B19" s="31" t="n">
        <v>46049</v>
      </c>
      <c r="C19" s="32" t="s">
        <v>108</v>
      </c>
      <c r="D19" s="32" t="s">
        <v>29</v>
      </c>
      <c r="E19" s="33" t="s">
        <v>17</v>
      </c>
      <c r="F19" s="33" t="s">
        <v>109</v>
      </c>
      <c r="G19" s="33" t="s">
        <v>66</v>
      </c>
      <c r="H19" s="33"/>
      <c r="I19" s="33" t="s">
        <v>110</v>
      </c>
      <c r="J19" s="33" t="s">
        <v>141</v>
      </c>
      <c r="K19" s="33" t="s">
        <v>142</v>
      </c>
      <c r="L19" s="33" t="s">
        <v>143</v>
      </c>
      <c r="M19" s="33" t="s">
        <v>110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 customFormat="false" ht="48.75" hidden="false" customHeight="true" outlineLevel="0" collapsed="false">
      <c r="A20" s="30" t="n">
        <v>19</v>
      </c>
      <c r="B20" s="31" t="n">
        <v>46049</v>
      </c>
      <c r="C20" s="32" t="s">
        <v>108</v>
      </c>
      <c r="D20" s="32" t="s">
        <v>29</v>
      </c>
      <c r="E20" s="33" t="s">
        <v>16</v>
      </c>
      <c r="F20" s="33"/>
      <c r="G20" s="33" t="s">
        <v>67</v>
      </c>
      <c r="H20" s="33"/>
      <c r="I20" s="33" t="s">
        <v>110</v>
      </c>
      <c r="J20" s="33" t="s">
        <v>144</v>
      </c>
      <c r="K20" s="33" t="s">
        <v>144</v>
      </c>
      <c r="L20" s="33"/>
      <c r="M20" s="33" t="s">
        <v>110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customFormat="false" ht="48.75" hidden="false" customHeight="true" outlineLevel="0" collapsed="false">
      <c r="A21" s="30" t="n">
        <v>20</v>
      </c>
      <c r="B21" s="31" t="n">
        <v>46049</v>
      </c>
      <c r="C21" s="32" t="s">
        <v>108</v>
      </c>
      <c r="D21" s="32" t="s">
        <v>29</v>
      </c>
      <c r="E21" s="33" t="s">
        <v>16</v>
      </c>
      <c r="F21" s="33"/>
      <c r="G21" s="33" t="s">
        <v>68</v>
      </c>
      <c r="H21" s="33"/>
      <c r="I21" s="33" t="s">
        <v>110</v>
      </c>
      <c r="J21" s="33" t="s">
        <v>144</v>
      </c>
      <c r="K21" s="33" t="s">
        <v>144</v>
      </c>
      <c r="L21" s="33"/>
      <c r="M21" s="33" t="s">
        <v>110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customFormat="false" ht="48.75" hidden="false" customHeight="true" outlineLevel="0" collapsed="false">
      <c r="A22" s="30" t="n">
        <v>21</v>
      </c>
      <c r="B22" s="31" t="n">
        <v>46028</v>
      </c>
      <c r="C22" s="32" t="s">
        <v>108</v>
      </c>
      <c r="D22" s="32" t="s">
        <v>29</v>
      </c>
      <c r="E22" s="33" t="s">
        <v>15</v>
      </c>
      <c r="F22" s="33" t="s">
        <v>15</v>
      </c>
      <c r="G22" s="33" t="s">
        <v>70</v>
      </c>
      <c r="H22" s="33" t="s">
        <v>69</v>
      </c>
      <c r="I22" s="33" t="s">
        <v>130</v>
      </c>
      <c r="J22" s="33" t="s">
        <v>145</v>
      </c>
      <c r="K22" s="33"/>
      <c r="L22" s="33" t="s">
        <v>146</v>
      </c>
      <c r="M22" s="33" t="s">
        <v>130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customFormat="false" ht="48.75" hidden="false" customHeight="true" outlineLevel="0" collapsed="false">
      <c r="A23" s="30" t="n">
        <v>22</v>
      </c>
      <c r="B23" s="31" t="n">
        <v>46028</v>
      </c>
      <c r="C23" s="32" t="s">
        <v>108</v>
      </c>
      <c r="D23" s="32" t="s">
        <v>29</v>
      </c>
      <c r="E23" s="33" t="s">
        <v>17</v>
      </c>
      <c r="F23" s="33" t="s">
        <v>147</v>
      </c>
      <c r="G23" s="33" t="s">
        <v>71</v>
      </c>
      <c r="H23" s="33" t="s">
        <v>72</v>
      </c>
      <c r="I23" s="33" t="s">
        <v>130</v>
      </c>
      <c r="J23" s="33" t="s">
        <v>148</v>
      </c>
      <c r="K23" s="33" t="s">
        <v>149</v>
      </c>
      <c r="L23" s="33" t="s">
        <v>150</v>
      </c>
      <c r="M23" s="33" t="s">
        <v>130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customFormat="false" ht="48.75" hidden="false" customHeight="true" outlineLevel="0" collapsed="false">
      <c r="A24" s="30" t="n">
        <v>23</v>
      </c>
      <c r="B24" s="31" t="n">
        <v>46028</v>
      </c>
      <c r="C24" s="32" t="s">
        <v>108</v>
      </c>
      <c r="D24" s="32" t="s">
        <v>29</v>
      </c>
      <c r="E24" s="33" t="s">
        <v>16</v>
      </c>
      <c r="F24" s="33" t="s">
        <v>15</v>
      </c>
      <c r="G24" s="33" t="s">
        <v>61</v>
      </c>
      <c r="H24" s="33" t="s">
        <v>62</v>
      </c>
      <c r="I24" s="33" t="s">
        <v>130</v>
      </c>
      <c r="J24" s="33" t="s">
        <v>151</v>
      </c>
      <c r="K24" s="33" t="s">
        <v>152</v>
      </c>
      <c r="L24" s="33"/>
      <c r="M24" s="33" t="s">
        <v>130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customFormat="false" ht="48.75" hidden="false" customHeight="true" outlineLevel="0" collapsed="false">
      <c r="A25" s="30" t="n">
        <v>24</v>
      </c>
      <c r="B25" s="31" t="n">
        <v>46028</v>
      </c>
      <c r="C25" s="32" t="s">
        <v>108</v>
      </c>
      <c r="D25" s="32" t="s">
        <v>29</v>
      </c>
      <c r="E25" s="33" t="s">
        <v>16</v>
      </c>
      <c r="F25" s="33" t="s">
        <v>15</v>
      </c>
      <c r="G25" s="33" t="s">
        <v>61</v>
      </c>
      <c r="H25" s="33" t="s">
        <v>62</v>
      </c>
      <c r="I25" s="33" t="s">
        <v>130</v>
      </c>
      <c r="J25" s="33" t="s">
        <v>153</v>
      </c>
      <c r="K25" s="33" t="s">
        <v>152</v>
      </c>
      <c r="L25" s="33"/>
      <c r="M25" s="33" t="s">
        <v>130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customFormat="false" ht="48.75" hidden="false" customHeight="true" outlineLevel="0" collapsed="false">
      <c r="A26" s="30" t="n">
        <v>25</v>
      </c>
      <c r="B26" s="31" t="n">
        <v>46028</v>
      </c>
      <c r="C26" s="32" t="s">
        <v>108</v>
      </c>
      <c r="D26" s="32" t="s">
        <v>30</v>
      </c>
      <c r="E26" s="33" t="s">
        <v>17</v>
      </c>
      <c r="F26" s="33" t="s">
        <v>15</v>
      </c>
      <c r="G26" s="33" t="s">
        <v>61</v>
      </c>
      <c r="H26" s="33" t="s">
        <v>73</v>
      </c>
      <c r="I26" s="33" t="s">
        <v>154</v>
      </c>
      <c r="J26" s="33" t="s">
        <v>155</v>
      </c>
      <c r="K26" s="33"/>
      <c r="L26" s="33" t="s">
        <v>156</v>
      </c>
      <c r="M26" s="33" t="s">
        <v>154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customFormat="false" ht="48.75" hidden="false" customHeight="true" outlineLevel="0" collapsed="false">
      <c r="A27" s="30" t="n">
        <v>26</v>
      </c>
      <c r="B27" s="31" t="n">
        <v>46028</v>
      </c>
      <c r="C27" s="32" t="s">
        <v>108</v>
      </c>
      <c r="D27" s="32" t="s">
        <v>30</v>
      </c>
      <c r="E27" s="33" t="s">
        <v>17</v>
      </c>
      <c r="F27" s="33" t="s">
        <v>15</v>
      </c>
      <c r="G27" s="33" t="s">
        <v>61</v>
      </c>
      <c r="H27" s="33" t="s">
        <v>74</v>
      </c>
      <c r="I27" s="33" t="s">
        <v>154</v>
      </c>
      <c r="J27" s="33" t="s">
        <v>74</v>
      </c>
      <c r="K27" s="33"/>
      <c r="L27" s="33" t="s">
        <v>156</v>
      </c>
      <c r="M27" s="33" t="s">
        <v>154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customFormat="false" ht="48.75" hidden="false" customHeight="true" outlineLevel="0" collapsed="false">
      <c r="A28" s="30" t="n">
        <v>27</v>
      </c>
      <c r="B28" s="31" t="n">
        <v>46028</v>
      </c>
      <c r="C28" s="32" t="s">
        <v>108</v>
      </c>
      <c r="D28" s="32" t="s">
        <v>30</v>
      </c>
      <c r="E28" s="33" t="s">
        <v>17</v>
      </c>
      <c r="F28" s="33" t="s">
        <v>15</v>
      </c>
      <c r="G28" s="33" t="s">
        <v>61</v>
      </c>
      <c r="H28" s="33" t="s">
        <v>75</v>
      </c>
      <c r="I28" s="33" t="s">
        <v>154</v>
      </c>
      <c r="J28" s="33" t="s">
        <v>157</v>
      </c>
      <c r="K28" s="33"/>
      <c r="L28" s="33" t="s">
        <v>156</v>
      </c>
      <c r="M28" s="33" t="s">
        <v>154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customFormat="false" ht="48.75" hidden="false" customHeight="true" outlineLevel="0" collapsed="false">
      <c r="A29" s="30" t="n">
        <v>28</v>
      </c>
      <c r="B29" s="31" t="n">
        <v>46028</v>
      </c>
      <c r="C29" s="32" t="s">
        <v>108</v>
      </c>
      <c r="D29" s="32" t="s">
        <v>30</v>
      </c>
      <c r="E29" s="33" t="s">
        <v>17</v>
      </c>
      <c r="F29" s="33" t="s">
        <v>15</v>
      </c>
      <c r="G29" s="33" t="s">
        <v>61</v>
      </c>
      <c r="H29" s="33" t="s">
        <v>75</v>
      </c>
      <c r="I29" s="33" t="s">
        <v>154</v>
      </c>
      <c r="J29" s="33" t="s">
        <v>75</v>
      </c>
      <c r="K29" s="33"/>
      <c r="L29" s="33" t="s">
        <v>158</v>
      </c>
      <c r="M29" s="33" t="s">
        <v>154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customFormat="false" ht="48.75" hidden="false" customHeight="true" outlineLevel="0" collapsed="false">
      <c r="A30" s="30" t="n">
        <v>29</v>
      </c>
      <c r="B30" s="31" t="n">
        <v>46049</v>
      </c>
      <c r="C30" s="32" t="s">
        <v>108</v>
      </c>
      <c r="D30" s="32" t="s">
        <v>30</v>
      </c>
      <c r="E30" s="33" t="s">
        <v>15</v>
      </c>
      <c r="F30" s="33" t="s">
        <v>15</v>
      </c>
      <c r="G30" s="33" t="s">
        <v>76</v>
      </c>
      <c r="H30" s="33" t="s">
        <v>77</v>
      </c>
      <c r="I30" s="33" t="s">
        <v>159</v>
      </c>
      <c r="J30" s="33" t="s">
        <v>160</v>
      </c>
      <c r="K30" s="33" t="s">
        <v>161</v>
      </c>
      <c r="L30" s="38" t="s">
        <v>161</v>
      </c>
      <c r="M30" s="33" t="s">
        <v>159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</row>
    <row r="31" customFormat="false" ht="48.75" hidden="false" customHeight="true" outlineLevel="0" collapsed="false">
      <c r="A31" s="30" t="n">
        <v>30</v>
      </c>
      <c r="B31" s="31" t="n">
        <v>46049</v>
      </c>
      <c r="C31" s="32" t="s">
        <v>108</v>
      </c>
      <c r="D31" s="32" t="s">
        <v>30</v>
      </c>
      <c r="E31" s="33" t="s">
        <v>17</v>
      </c>
      <c r="F31" s="33" t="s">
        <v>15</v>
      </c>
      <c r="G31" s="33" t="s">
        <v>78</v>
      </c>
      <c r="H31" s="33" t="s">
        <v>79</v>
      </c>
      <c r="I31" s="33" t="s">
        <v>159</v>
      </c>
      <c r="J31" s="33"/>
      <c r="K31" s="33"/>
      <c r="L31" s="33"/>
      <c r="M31" s="33" t="s">
        <v>159</v>
      </c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</row>
    <row r="32" customFormat="false" ht="58.5" hidden="false" customHeight="true" outlineLevel="0" collapsed="false">
      <c r="A32" s="30" t="n">
        <v>31</v>
      </c>
      <c r="B32" s="31" t="n">
        <v>46049</v>
      </c>
      <c r="C32" s="32" t="s">
        <v>108</v>
      </c>
      <c r="D32" s="32" t="s">
        <v>30</v>
      </c>
      <c r="E32" s="33" t="s">
        <v>17</v>
      </c>
      <c r="F32" s="33" t="s">
        <v>15</v>
      </c>
      <c r="G32" s="33" t="s">
        <v>80</v>
      </c>
      <c r="H32" s="33"/>
      <c r="I32" s="33" t="s">
        <v>162</v>
      </c>
      <c r="J32" s="33" t="s">
        <v>163</v>
      </c>
      <c r="K32" s="33" t="s">
        <v>163</v>
      </c>
      <c r="L32" s="33"/>
      <c r="M32" s="33" t="s">
        <v>162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</row>
    <row r="33" customFormat="false" ht="48.75" hidden="false" customHeight="true" outlineLevel="0" collapsed="false">
      <c r="A33" s="30" t="n">
        <v>32</v>
      </c>
      <c r="B33" s="31" t="n">
        <v>46049</v>
      </c>
      <c r="C33" s="32" t="s">
        <v>108</v>
      </c>
      <c r="D33" s="32" t="s">
        <v>30</v>
      </c>
      <c r="E33" s="33" t="s">
        <v>17</v>
      </c>
      <c r="F33" s="33" t="s">
        <v>15</v>
      </c>
      <c r="G33" s="33" t="s">
        <v>81</v>
      </c>
      <c r="H33" s="33"/>
      <c r="I33" s="33" t="s">
        <v>164</v>
      </c>
      <c r="J33" s="33" t="s">
        <v>165</v>
      </c>
      <c r="K33" s="33" t="s">
        <v>165</v>
      </c>
      <c r="L33" s="33"/>
      <c r="M33" s="33" t="s">
        <v>164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6"/>
    </row>
    <row r="34" customFormat="false" ht="48.75" hidden="false" customHeight="true" outlineLevel="0" collapsed="false">
      <c r="A34" s="30" t="n">
        <v>33</v>
      </c>
      <c r="B34" s="31" t="n">
        <v>46049</v>
      </c>
      <c r="C34" s="32" t="s">
        <v>108</v>
      </c>
      <c r="D34" s="32" t="s">
        <v>30</v>
      </c>
      <c r="E34" s="33" t="s">
        <v>17</v>
      </c>
      <c r="F34" s="33" t="s">
        <v>15</v>
      </c>
      <c r="G34" s="33" t="s">
        <v>82</v>
      </c>
      <c r="H34" s="33"/>
      <c r="I34" s="33" t="s">
        <v>166</v>
      </c>
      <c r="J34" s="33" t="s">
        <v>167</v>
      </c>
      <c r="K34" s="33"/>
      <c r="L34" s="33"/>
      <c r="M34" s="33" t="s">
        <v>166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6"/>
    </row>
    <row r="35" customFormat="false" ht="48.75" hidden="false" customHeight="true" outlineLevel="0" collapsed="false">
      <c r="A35" s="30" t="n">
        <v>34</v>
      </c>
      <c r="B35" s="31" t="n">
        <v>46062</v>
      </c>
      <c r="C35" s="32" t="s">
        <v>108</v>
      </c>
      <c r="D35" s="32" t="s">
        <v>30</v>
      </c>
      <c r="E35" s="33" t="s">
        <v>150</v>
      </c>
      <c r="F35" s="33"/>
      <c r="G35" s="33" t="s">
        <v>83</v>
      </c>
      <c r="H35" s="33"/>
      <c r="I35" s="33" t="s">
        <v>168</v>
      </c>
      <c r="J35" s="33" t="s">
        <v>169</v>
      </c>
      <c r="K35" s="33"/>
      <c r="L35" s="33" t="s">
        <v>170</v>
      </c>
      <c r="M35" s="33" t="s">
        <v>168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6"/>
    </row>
    <row r="36" customFormat="false" ht="48.75" hidden="false" customHeight="true" outlineLevel="0" collapsed="false">
      <c r="A36" s="30" t="n">
        <v>35</v>
      </c>
      <c r="B36" s="31" t="n">
        <v>46062</v>
      </c>
      <c r="C36" s="32" t="s">
        <v>108</v>
      </c>
      <c r="D36" s="32" t="s">
        <v>3</v>
      </c>
      <c r="E36" s="33" t="s">
        <v>15</v>
      </c>
      <c r="F36" s="33" t="s">
        <v>109</v>
      </c>
      <c r="G36" s="33" t="s">
        <v>84</v>
      </c>
      <c r="H36" s="33"/>
      <c r="I36" s="33" t="s">
        <v>110</v>
      </c>
      <c r="J36" s="33" t="s">
        <v>171</v>
      </c>
      <c r="K36" s="33" t="s">
        <v>117</v>
      </c>
      <c r="L36" s="33" t="s">
        <v>172</v>
      </c>
      <c r="M36" s="33" t="s">
        <v>110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6"/>
    </row>
    <row r="37" customFormat="false" ht="48.75" hidden="false" customHeight="true" outlineLevel="0" collapsed="false">
      <c r="A37" s="30" t="n">
        <v>36</v>
      </c>
      <c r="B37" s="31" t="n">
        <v>46062</v>
      </c>
      <c r="C37" s="32" t="s">
        <v>108</v>
      </c>
      <c r="D37" s="32" t="s">
        <v>3</v>
      </c>
      <c r="E37" s="34" t="s">
        <v>17</v>
      </c>
      <c r="F37" s="33" t="s">
        <v>109</v>
      </c>
      <c r="G37" s="33" t="s">
        <v>67</v>
      </c>
      <c r="H37" s="33"/>
      <c r="I37" s="33" t="s">
        <v>110</v>
      </c>
      <c r="J37" s="33" t="s">
        <v>173</v>
      </c>
      <c r="K37" s="33"/>
      <c r="L37" s="33" t="s">
        <v>174</v>
      </c>
      <c r="M37" s="33" t="s">
        <v>110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6"/>
    </row>
    <row r="38" customFormat="false" ht="48.75" hidden="false" customHeight="true" outlineLevel="0" collapsed="false">
      <c r="A38" s="30" t="n">
        <v>37</v>
      </c>
      <c r="B38" s="31" t="n">
        <v>46062</v>
      </c>
      <c r="C38" s="32" t="s">
        <v>108</v>
      </c>
      <c r="D38" s="32" t="s">
        <v>29</v>
      </c>
      <c r="E38" s="33" t="s">
        <v>17</v>
      </c>
      <c r="F38" s="33"/>
      <c r="G38" s="33" t="s">
        <v>85</v>
      </c>
      <c r="H38" s="33"/>
      <c r="I38" s="33" t="s">
        <v>110</v>
      </c>
      <c r="J38" s="33" t="s">
        <v>175</v>
      </c>
      <c r="K38" s="33" t="s">
        <v>176</v>
      </c>
      <c r="L38" s="33" t="s">
        <v>174</v>
      </c>
      <c r="M38" s="33" t="s">
        <v>110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6"/>
    </row>
    <row r="39" customFormat="false" ht="57" hidden="false" customHeight="true" outlineLevel="0" collapsed="false">
      <c r="A39" s="30" t="n">
        <v>38</v>
      </c>
      <c r="B39" s="31" t="n">
        <v>46062</v>
      </c>
      <c r="C39" s="32" t="s">
        <v>108</v>
      </c>
      <c r="D39" s="32" t="s">
        <v>3</v>
      </c>
      <c r="E39" s="33" t="s">
        <v>16</v>
      </c>
      <c r="F39" s="33" t="s">
        <v>109</v>
      </c>
      <c r="G39" s="33" t="s">
        <v>86</v>
      </c>
      <c r="H39" s="33"/>
      <c r="I39" s="33" t="s">
        <v>110</v>
      </c>
      <c r="J39" s="33" t="s">
        <v>177</v>
      </c>
      <c r="K39" s="33"/>
      <c r="L39" s="33" t="s">
        <v>178</v>
      </c>
      <c r="M39" s="33" t="s">
        <v>110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6"/>
    </row>
    <row r="40" customFormat="false" ht="48.75" hidden="false" customHeight="true" outlineLevel="0" collapsed="false">
      <c r="A40" s="30" t="n">
        <v>39</v>
      </c>
      <c r="B40" s="31" t="n">
        <v>46062</v>
      </c>
      <c r="C40" s="32" t="s">
        <v>108</v>
      </c>
      <c r="D40" s="32" t="s">
        <v>6</v>
      </c>
      <c r="E40" s="33" t="s">
        <v>150</v>
      </c>
      <c r="F40" s="33"/>
      <c r="G40" s="33" t="s">
        <v>86</v>
      </c>
      <c r="H40" s="33"/>
      <c r="I40" s="33" t="s">
        <v>166</v>
      </c>
      <c r="J40" s="33" t="s">
        <v>179</v>
      </c>
      <c r="K40" s="33"/>
      <c r="L40" s="33" t="s">
        <v>178</v>
      </c>
      <c r="M40" s="33" t="s">
        <v>166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6"/>
    </row>
    <row r="41" customFormat="false" ht="48.75" hidden="false" customHeight="true" outlineLevel="0" collapsed="false">
      <c r="A41" s="30" t="n">
        <v>40</v>
      </c>
      <c r="B41" s="31" t="n">
        <v>46062</v>
      </c>
      <c r="C41" s="32" t="s">
        <v>108</v>
      </c>
      <c r="D41" s="32" t="s">
        <v>6</v>
      </c>
      <c r="E41" s="33" t="s">
        <v>150</v>
      </c>
      <c r="F41" s="33"/>
      <c r="G41" s="33" t="s">
        <v>87</v>
      </c>
      <c r="H41" s="33"/>
      <c r="I41" s="33"/>
      <c r="J41" s="33" t="s">
        <v>180</v>
      </c>
      <c r="K41" s="33"/>
      <c r="L41" s="33" t="s">
        <v>181</v>
      </c>
      <c r="M41" s="33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6"/>
    </row>
    <row r="42" customFormat="false" ht="48.75" hidden="false" customHeight="true" outlineLevel="0" collapsed="false">
      <c r="A42" s="30" t="n">
        <v>41</v>
      </c>
      <c r="B42" s="31" t="n">
        <v>46062</v>
      </c>
      <c r="C42" s="32" t="s">
        <v>108</v>
      </c>
      <c r="D42" s="32" t="s">
        <v>6</v>
      </c>
      <c r="E42" s="33" t="s">
        <v>150</v>
      </c>
      <c r="F42" s="33"/>
      <c r="G42" s="33" t="s">
        <v>88</v>
      </c>
      <c r="H42" s="33"/>
      <c r="I42" s="33" t="s">
        <v>166</v>
      </c>
      <c r="J42" s="33" t="s">
        <v>182</v>
      </c>
      <c r="K42" s="33" t="s">
        <v>183</v>
      </c>
      <c r="L42" s="33" t="s">
        <v>178</v>
      </c>
      <c r="M42" s="33" t="s">
        <v>166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6"/>
    </row>
    <row r="43" customFormat="false" ht="48.75" hidden="false" customHeight="true" outlineLevel="0" collapsed="false">
      <c r="A43" s="30" t="n">
        <v>42</v>
      </c>
      <c r="B43" s="31" t="n">
        <v>46080</v>
      </c>
      <c r="C43" s="32" t="s">
        <v>108</v>
      </c>
      <c r="D43" s="32" t="s">
        <v>29</v>
      </c>
      <c r="E43" s="33" t="s">
        <v>15</v>
      </c>
      <c r="F43" s="33" t="s">
        <v>15</v>
      </c>
      <c r="G43" s="33" t="s">
        <v>89</v>
      </c>
      <c r="H43" s="33"/>
      <c r="I43" s="33" t="s">
        <v>110</v>
      </c>
      <c r="J43" s="33" t="s">
        <v>184</v>
      </c>
      <c r="K43" s="33"/>
      <c r="L43" s="33" t="s">
        <v>185</v>
      </c>
      <c r="M43" s="33" t="s">
        <v>110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6"/>
    </row>
    <row r="44" customFormat="false" ht="48.75" hidden="false" customHeight="true" outlineLevel="0" collapsed="false">
      <c r="A44" s="30" t="n">
        <v>43</v>
      </c>
      <c r="B44" s="31" t="n">
        <v>46080</v>
      </c>
      <c r="C44" s="32" t="s">
        <v>108</v>
      </c>
      <c r="D44" s="32" t="s">
        <v>29</v>
      </c>
      <c r="E44" s="33" t="s">
        <v>15</v>
      </c>
      <c r="F44" s="33" t="s">
        <v>15</v>
      </c>
      <c r="G44" s="33" t="s">
        <v>89</v>
      </c>
      <c r="H44" s="33"/>
      <c r="I44" s="33" t="s">
        <v>110</v>
      </c>
      <c r="J44" s="33" t="s">
        <v>186</v>
      </c>
      <c r="K44" s="33"/>
      <c r="L44" s="33"/>
      <c r="M44" s="33" t="s">
        <v>110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6"/>
    </row>
    <row r="45" customFormat="false" ht="48.75" hidden="false" customHeight="true" outlineLevel="0" collapsed="false">
      <c r="A45" s="30" t="n">
        <v>44</v>
      </c>
      <c r="B45" s="31" t="n">
        <v>46080</v>
      </c>
      <c r="C45" s="32" t="s">
        <v>108</v>
      </c>
      <c r="D45" s="32" t="s">
        <v>29</v>
      </c>
      <c r="E45" s="33" t="s">
        <v>15</v>
      </c>
      <c r="F45" s="33" t="s">
        <v>15</v>
      </c>
      <c r="G45" s="33" t="s">
        <v>89</v>
      </c>
      <c r="H45" s="33"/>
      <c r="I45" s="33" t="s">
        <v>110</v>
      </c>
      <c r="J45" s="33" t="s">
        <v>187</v>
      </c>
      <c r="K45" s="33" t="s">
        <v>188</v>
      </c>
      <c r="L45" s="33" t="s">
        <v>188</v>
      </c>
      <c r="M45" s="33" t="s">
        <v>110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6"/>
    </row>
    <row r="46" customFormat="false" ht="48.75" hidden="false" customHeight="true" outlineLevel="0" collapsed="false">
      <c r="A46" s="30" t="n">
        <v>45</v>
      </c>
      <c r="B46" s="33"/>
      <c r="C46" s="33" t="s">
        <v>189</v>
      </c>
      <c r="D46" s="32" t="s">
        <v>3</v>
      </c>
      <c r="E46" s="33"/>
      <c r="F46" s="33"/>
      <c r="G46" s="33"/>
      <c r="H46" s="33"/>
      <c r="I46" s="33" t="s">
        <v>130</v>
      </c>
      <c r="J46" s="33" t="s">
        <v>190</v>
      </c>
      <c r="K46" s="33" t="s">
        <v>191</v>
      </c>
      <c r="L46" s="33"/>
      <c r="M46" s="33" t="s">
        <v>130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6"/>
    </row>
    <row r="47" customFormat="false" ht="48.75" hidden="false" customHeight="true" outlineLevel="0" collapsed="false">
      <c r="A47" s="30" t="n">
        <v>46</v>
      </c>
      <c r="B47" s="33"/>
      <c r="C47" s="33" t="s">
        <v>189</v>
      </c>
      <c r="D47" s="32" t="s">
        <v>29</v>
      </c>
      <c r="E47" s="33" t="s">
        <v>31</v>
      </c>
      <c r="F47" s="33" t="s">
        <v>31</v>
      </c>
      <c r="G47" s="33"/>
      <c r="H47" s="33"/>
      <c r="I47" s="33" t="s">
        <v>110</v>
      </c>
      <c r="J47" s="33" t="s">
        <v>192</v>
      </c>
      <c r="K47" s="33" t="s">
        <v>191</v>
      </c>
      <c r="L47" s="33"/>
      <c r="M47" s="33" t="s">
        <v>110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6"/>
    </row>
    <row r="48" customFormat="false" ht="48.75" hidden="false" customHeight="true" outlineLevel="0" collapsed="false">
      <c r="A48" s="30" t="n">
        <v>47</v>
      </c>
      <c r="B48" s="33"/>
      <c r="C48" s="33" t="s">
        <v>189</v>
      </c>
      <c r="D48" s="32" t="s">
        <v>29</v>
      </c>
      <c r="E48" s="33" t="s">
        <v>31</v>
      </c>
      <c r="F48" s="33" t="s">
        <v>31</v>
      </c>
      <c r="G48" s="33"/>
      <c r="H48" s="33"/>
      <c r="I48" s="33" t="s">
        <v>110</v>
      </c>
      <c r="J48" s="33" t="s">
        <v>193</v>
      </c>
      <c r="K48" s="33" t="s">
        <v>191</v>
      </c>
      <c r="L48" s="33"/>
      <c r="M48" s="33" t="s">
        <v>110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6"/>
    </row>
    <row r="49" customFormat="false" ht="48.75" hidden="false" customHeight="true" outlineLevel="0" collapsed="false">
      <c r="A49" s="30" t="n">
        <v>48</v>
      </c>
      <c r="B49" s="33"/>
      <c r="C49" s="33" t="s">
        <v>189</v>
      </c>
      <c r="D49" s="32" t="s">
        <v>3</v>
      </c>
      <c r="E49" s="33"/>
      <c r="F49" s="33"/>
      <c r="G49" s="33"/>
      <c r="H49" s="33"/>
      <c r="I49" s="33" t="s">
        <v>194</v>
      </c>
      <c r="J49" s="33" t="s">
        <v>195</v>
      </c>
      <c r="K49" s="33" t="s">
        <v>191</v>
      </c>
      <c r="L49" s="33"/>
      <c r="M49" s="33" t="s">
        <v>194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6"/>
    </row>
    <row r="50" customFormat="false" ht="48.75" hidden="false" customHeight="true" outlineLevel="0" collapsed="false">
      <c r="A50" s="30" t="n">
        <v>49</v>
      </c>
      <c r="B50" s="33"/>
      <c r="C50" s="33" t="s">
        <v>189</v>
      </c>
      <c r="D50" s="32" t="s">
        <v>29</v>
      </c>
      <c r="E50" s="33" t="s">
        <v>31</v>
      </c>
      <c r="F50" s="33" t="s">
        <v>31</v>
      </c>
      <c r="G50" s="33"/>
      <c r="H50" s="33"/>
      <c r="I50" s="33" t="s">
        <v>196</v>
      </c>
      <c r="J50" s="33" t="s">
        <v>197</v>
      </c>
      <c r="K50" s="33" t="s">
        <v>191</v>
      </c>
      <c r="L50" s="33"/>
      <c r="M50" s="33" t="s">
        <v>196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6"/>
    </row>
    <row r="51" customFormat="false" ht="48.75" hidden="false" customHeight="true" outlineLevel="0" collapsed="false">
      <c r="A51" s="30" t="n">
        <v>50</v>
      </c>
      <c r="B51" s="33"/>
      <c r="C51" s="33" t="s">
        <v>189</v>
      </c>
      <c r="D51" s="32" t="s">
        <v>29</v>
      </c>
      <c r="E51" s="33" t="s">
        <v>32</v>
      </c>
      <c r="F51" s="33" t="s">
        <v>31</v>
      </c>
      <c r="G51" s="33"/>
      <c r="H51" s="33"/>
      <c r="I51" s="33" t="s">
        <v>166</v>
      </c>
      <c r="J51" s="33" t="s">
        <v>198</v>
      </c>
      <c r="K51" s="33" t="s">
        <v>191</v>
      </c>
      <c r="L51" s="33"/>
      <c r="M51" s="33" t="s">
        <v>166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6"/>
    </row>
    <row r="52" customFormat="false" ht="48.75" hidden="false" customHeight="true" outlineLevel="0" collapsed="false">
      <c r="A52" s="30" t="n">
        <v>51</v>
      </c>
      <c r="B52" s="31" t="n">
        <v>46028</v>
      </c>
      <c r="C52" s="32" t="s">
        <v>108</v>
      </c>
      <c r="D52" s="32" t="s">
        <v>30</v>
      </c>
      <c r="E52" s="33" t="s">
        <v>17</v>
      </c>
      <c r="F52" s="33" t="s">
        <v>126</v>
      </c>
      <c r="G52" s="33" t="s">
        <v>70</v>
      </c>
      <c r="H52" s="33" t="s">
        <v>90</v>
      </c>
      <c r="I52" s="33" t="s">
        <v>21</v>
      </c>
      <c r="J52" s="33" t="s">
        <v>199</v>
      </c>
      <c r="K52" s="33" t="s">
        <v>200</v>
      </c>
      <c r="L52" s="33" t="s">
        <v>136</v>
      </c>
      <c r="M52" s="33" t="s">
        <v>21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6"/>
    </row>
    <row r="53" customFormat="false" ht="48.75" hidden="false" customHeight="true" outlineLevel="0" collapsed="false">
      <c r="A53" s="30" t="n">
        <v>52</v>
      </c>
      <c r="B53" s="31" t="n">
        <v>46049</v>
      </c>
      <c r="C53" s="32" t="s">
        <v>108</v>
      </c>
      <c r="D53" s="32" t="s">
        <v>30</v>
      </c>
      <c r="E53" s="33" t="s">
        <v>16</v>
      </c>
      <c r="F53" s="33" t="s">
        <v>17</v>
      </c>
      <c r="G53" s="37" t="s">
        <v>66</v>
      </c>
      <c r="H53" s="33" t="s">
        <v>91</v>
      </c>
      <c r="I53" s="33" t="s">
        <v>21</v>
      </c>
      <c r="J53" s="33" t="s">
        <v>201</v>
      </c>
      <c r="K53" s="33"/>
      <c r="L53" s="33"/>
      <c r="M53" s="33" t="s">
        <v>21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6"/>
    </row>
    <row r="54" customFormat="false" ht="48.75" hidden="false" customHeight="true" outlineLevel="0" collapsed="false">
      <c r="A54" s="30" t="n">
        <v>53</v>
      </c>
      <c r="B54" s="31" t="n">
        <v>46049</v>
      </c>
      <c r="C54" s="32" t="s">
        <v>108</v>
      </c>
      <c r="D54" s="32" t="s">
        <v>29</v>
      </c>
      <c r="E54" s="33" t="s">
        <v>15</v>
      </c>
      <c r="F54" s="33"/>
      <c r="G54" s="33" t="s">
        <v>92</v>
      </c>
      <c r="H54" s="33"/>
      <c r="I54" s="33" t="s">
        <v>21</v>
      </c>
      <c r="J54" s="33" t="s">
        <v>202</v>
      </c>
      <c r="K54" s="33" t="s">
        <v>202</v>
      </c>
      <c r="L54" s="33"/>
      <c r="M54" s="33" t="s">
        <v>21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6"/>
    </row>
    <row r="55" customFormat="false" ht="48.75" hidden="false" customHeight="true" outlineLevel="0" collapsed="false">
      <c r="A55" s="30" t="n">
        <v>54</v>
      </c>
      <c r="B55" s="31" t="n">
        <v>46049</v>
      </c>
      <c r="C55" s="32" t="s">
        <v>108</v>
      </c>
      <c r="D55" s="32" t="s">
        <v>29</v>
      </c>
      <c r="E55" s="33" t="s">
        <v>15</v>
      </c>
      <c r="F55" s="33" t="s">
        <v>15</v>
      </c>
      <c r="G55" s="33" t="s">
        <v>93</v>
      </c>
      <c r="H55" s="33"/>
      <c r="I55" s="33" t="s">
        <v>21</v>
      </c>
      <c r="J55" s="33" t="s">
        <v>203</v>
      </c>
      <c r="K55" s="33"/>
      <c r="L55" s="33" t="s">
        <v>143</v>
      </c>
      <c r="M55" s="33" t="s">
        <v>21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6"/>
    </row>
    <row r="56" customFormat="false" ht="48.75" hidden="false" customHeight="true" outlineLevel="0" collapsed="false">
      <c r="A56" s="30" t="n">
        <v>55</v>
      </c>
      <c r="B56" s="31" t="n">
        <v>46062</v>
      </c>
      <c r="C56" s="32" t="s">
        <v>108</v>
      </c>
      <c r="D56" s="32" t="s">
        <v>29</v>
      </c>
      <c r="E56" s="33" t="s">
        <v>16</v>
      </c>
      <c r="F56" s="33"/>
      <c r="G56" s="33" t="s">
        <v>86</v>
      </c>
      <c r="H56" s="33"/>
      <c r="I56" s="33" t="s">
        <v>21</v>
      </c>
      <c r="J56" s="33" t="s">
        <v>204</v>
      </c>
      <c r="K56" s="33"/>
      <c r="L56" s="33" t="s">
        <v>172</v>
      </c>
      <c r="M56" s="33" t="s">
        <v>21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6"/>
    </row>
    <row r="57" customFormat="false" ht="48.75" hidden="false" customHeight="true" outlineLevel="0" collapsed="false">
      <c r="A57" s="30" t="n">
        <v>56</v>
      </c>
      <c r="B57" s="31" t="n">
        <v>46062</v>
      </c>
      <c r="C57" s="32" t="s">
        <v>108</v>
      </c>
      <c r="D57" s="32" t="s">
        <v>30</v>
      </c>
      <c r="E57" s="33" t="s">
        <v>15</v>
      </c>
      <c r="F57" s="33" t="s">
        <v>126</v>
      </c>
      <c r="G57" s="33" t="s">
        <v>87</v>
      </c>
      <c r="H57" s="33"/>
      <c r="I57" s="33" t="s">
        <v>21</v>
      </c>
      <c r="J57" s="33" t="s">
        <v>205</v>
      </c>
      <c r="K57" s="33"/>
      <c r="L57" s="33" t="s">
        <v>178</v>
      </c>
      <c r="M57" s="33" t="s">
        <v>21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6"/>
    </row>
    <row r="58" customFormat="false" ht="48.75" hidden="false" customHeight="true" outlineLevel="0" collapsed="false">
      <c r="A58" s="30" t="n">
        <v>57</v>
      </c>
      <c r="B58" s="31" t="n">
        <v>46062</v>
      </c>
      <c r="C58" s="32" t="s">
        <v>108</v>
      </c>
      <c r="D58" s="32" t="s">
        <v>7</v>
      </c>
      <c r="E58" s="33" t="s">
        <v>150</v>
      </c>
      <c r="F58" s="33"/>
      <c r="G58" s="33" t="s">
        <v>87</v>
      </c>
      <c r="H58" s="33"/>
      <c r="I58" s="33" t="s">
        <v>21</v>
      </c>
      <c r="J58" s="33" t="s">
        <v>206</v>
      </c>
      <c r="K58" s="33" t="s">
        <v>207</v>
      </c>
      <c r="L58" s="33" t="s">
        <v>172</v>
      </c>
      <c r="M58" s="33" t="s">
        <v>21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6"/>
    </row>
    <row r="59" customFormat="false" ht="48.75" hidden="false" customHeight="true" outlineLevel="0" collapsed="false">
      <c r="A59" s="30" t="n">
        <v>58</v>
      </c>
      <c r="B59" s="31" t="n">
        <v>46062</v>
      </c>
      <c r="C59" s="32" t="s">
        <v>108</v>
      </c>
      <c r="D59" s="32" t="s">
        <v>30</v>
      </c>
      <c r="E59" s="33" t="s">
        <v>15</v>
      </c>
      <c r="F59" s="33" t="s">
        <v>126</v>
      </c>
      <c r="G59" s="33" t="s">
        <v>87</v>
      </c>
      <c r="H59" s="33"/>
      <c r="I59" s="33" t="s">
        <v>21</v>
      </c>
      <c r="J59" s="33" t="s">
        <v>208</v>
      </c>
      <c r="K59" s="33"/>
      <c r="L59" s="33" t="s">
        <v>174</v>
      </c>
      <c r="M59" s="33" t="s">
        <v>21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6"/>
    </row>
    <row r="60" customFormat="false" ht="48.75" hidden="false" customHeight="true" outlineLevel="0" collapsed="false">
      <c r="A60" s="30" t="n">
        <v>59</v>
      </c>
      <c r="B60" s="33"/>
      <c r="C60" s="33" t="s">
        <v>189</v>
      </c>
      <c r="D60" s="32" t="s">
        <v>29</v>
      </c>
      <c r="E60" s="33" t="s">
        <v>31</v>
      </c>
      <c r="F60" s="33" t="s">
        <v>31</v>
      </c>
      <c r="G60" s="33"/>
      <c r="H60" s="33"/>
      <c r="I60" s="33" t="s">
        <v>21</v>
      </c>
      <c r="J60" s="33" t="s">
        <v>209</v>
      </c>
      <c r="K60" s="33" t="s">
        <v>191</v>
      </c>
      <c r="L60" s="33"/>
      <c r="M60" s="33" t="s">
        <v>21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6"/>
    </row>
    <row r="61" customFormat="false" ht="48.75" hidden="false" customHeight="true" outlineLevel="0" collapsed="false">
      <c r="A61" s="30" t="n">
        <v>60</v>
      </c>
      <c r="B61" s="31" t="n">
        <v>46062</v>
      </c>
      <c r="C61" s="32" t="s">
        <v>108</v>
      </c>
      <c r="D61" s="32" t="s">
        <v>6</v>
      </c>
      <c r="E61" s="33" t="s">
        <v>150</v>
      </c>
      <c r="F61" s="33"/>
      <c r="G61" s="33" t="s">
        <v>87</v>
      </c>
      <c r="H61" s="33"/>
      <c r="I61" s="39" t="s">
        <v>22</v>
      </c>
      <c r="J61" s="33" t="s">
        <v>210</v>
      </c>
      <c r="K61" s="33" t="s">
        <v>211</v>
      </c>
      <c r="L61" s="33" t="s">
        <v>178</v>
      </c>
      <c r="M61" s="39" t="s">
        <v>22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6"/>
    </row>
    <row r="62" customFormat="false" ht="48.75" hidden="false" customHeight="true" outlineLevel="0" collapsed="false">
      <c r="A62" s="30" t="n">
        <v>61</v>
      </c>
      <c r="B62" s="31" t="n">
        <v>46062</v>
      </c>
      <c r="C62" s="32" t="s">
        <v>108</v>
      </c>
      <c r="D62" s="32" t="s">
        <v>6</v>
      </c>
      <c r="E62" s="33" t="s">
        <v>150</v>
      </c>
      <c r="F62" s="33"/>
      <c r="G62" s="33" t="s">
        <v>87</v>
      </c>
      <c r="H62" s="33"/>
      <c r="I62" s="39" t="s">
        <v>22</v>
      </c>
      <c r="J62" s="33" t="s">
        <v>212</v>
      </c>
      <c r="K62" s="33" t="s">
        <v>172</v>
      </c>
      <c r="L62" s="33" t="s">
        <v>172</v>
      </c>
      <c r="M62" s="39" t="s">
        <v>22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6"/>
    </row>
    <row r="63" customFormat="false" ht="48.75" hidden="false" customHeight="true" outlineLevel="0" collapsed="false">
      <c r="A63" s="30" t="n">
        <v>62</v>
      </c>
      <c r="B63" s="31" t="n">
        <v>46062</v>
      </c>
      <c r="C63" s="32" t="s">
        <v>108</v>
      </c>
      <c r="D63" s="32" t="s">
        <v>6</v>
      </c>
      <c r="E63" s="33" t="s">
        <v>150</v>
      </c>
      <c r="F63" s="33"/>
      <c r="G63" s="33" t="s">
        <v>87</v>
      </c>
      <c r="H63" s="33"/>
      <c r="I63" s="39" t="s">
        <v>22</v>
      </c>
      <c r="J63" s="33" t="s">
        <v>213</v>
      </c>
      <c r="K63" s="33"/>
      <c r="L63" s="33" t="s">
        <v>181</v>
      </c>
      <c r="M63" s="39" t="s">
        <v>22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6"/>
    </row>
    <row r="64" customFormat="false" ht="48.75" hidden="false" customHeight="true" outlineLevel="0" collapsed="false">
      <c r="A64" s="30" t="n">
        <v>63</v>
      </c>
      <c r="B64" s="31" t="n">
        <v>46062</v>
      </c>
      <c r="C64" s="32" t="s">
        <v>108</v>
      </c>
      <c r="D64" s="32" t="s">
        <v>6</v>
      </c>
      <c r="E64" s="33"/>
      <c r="F64" s="33"/>
      <c r="G64" s="33" t="s">
        <v>67</v>
      </c>
      <c r="H64" s="33"/>
      <c r="I64" s="39" t="s">
        <v>22</v>
      </c>
      <c r="J64" s="33" t="s">
        <v>214</v>
      </c>
      <c r="K64" s="33"/>
      <c r="L64" s="33" t="s">
        <v>215</v>
      </c>
      <c r="M64" s="39" t="s">
        <v>22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6"/>
    </row>
    <row r="65" customFormat="false" ht="48.75" hidden="false" customHeight="true" outlineLevel="0" collapsed="false">
      <c r="A65" s="30" t="n">
        <v>64</v>
      </c>
      <c r="B65" s="31" t="n">
        <v>46062</v>
      </c>
      <c r="C65" s="32" t="s">
        <v>108</v>
      </c>
      <c r="D65" s="32" t="s">
        <v>6</v>
      </c>
      <c r="E65" s="33" t="s">
        <v>150</v>
      </c>
      <c r="F65" s="33"/>
      <c r="G65" s="33" t="s">
        <v>85</v>
      </c>
      <c r="H65" s="33"/>
      <c r="I65" s="39" t="s">
        <v>22</v>
      </c>
      <c r="J65" s="33" t="s">
        <v>216</v>
      </c>
      <c r="K65" s="33" t="s">
        <v>217</v>
      </c>
      <c r="L65" s="33" t="s">
        <v>215</v>
      </c>
      <c r="M65" s="39" t="s">
        <v>22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6"/>
    </row>
    <row r="66" customFormat="false" ht="48.75" hidden="false" customHeight="true" outlineLevel="0" collapsed="false">
      <c r="A66" s="30" t="n">
        <v>65</v>
      </c>
      <c r="B66" s="31" t="n">
        <v>46062</v>
      </c>
      <c r="C66" s="32" t="s">
        <v>108</v>
      </c>
      <c r="D66" s="32" t="s">
        <v>6</v>
      </c>
      <c r="E66" s="33" t="s">
        <v>150</v>
      </c>
      <c r="F66" s="33"/>
      <c r="G66" s="33" t="s">
        <v>85</v>
      </c>
      <c r="H66" s="33"/>
      <c r="I66" s="39" t="s">
        <v>22</v>
      </c>
      <c r="J66" s="33" t="s">
        <v>218</v>
      </c>
      <c r="K66" s="33" t="s">
        <v>217</v>
      </c>
      <c r="L66" s="33" t="s">
        <v>215</v>
      </c>
      <c r="M66" s="39" t="s">
        <v>22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6"/>
    </row>
    <row r="67" customFormat="false" ht="48.75" hidden="false" customHeight="true" outlineLevel="0" collapsed="false">
      <c r="A67" s="30" t="n">
        <v>66</v>
      </c>
      <c r="B67" s="31" t="n">
        <v>46062</v>
      </c>
      <c r="C67" s="32" t="s">
        <v>108</v>
      </c>
      <c r="D67" s="32" t="s">
        <v>6</v>
      </c>
      <c r="E67" s="33"/>
      <c r="F67" s="33"/>
      <c r="G67" s="33" t="s">
        <v>85</v>
      </c>
      <c r="H67" s="33"/>
      <c r="I67" s="39" t="s">
        <v>22</v>
      </c>
      <c r="J67" s="33" t="s">
        <v>219</v>
      </c>
      <c r="K67" s="33" t="s">
        <v>220</v>
      </c>
      <c r="L67" s="33" t="s">
        <v>215</v>
      </c>
      <c r="M67" s="39" t="s">
        <v>22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6"/>
    </row>
    <row r="68" customFormat="false" ht="48.75" hidden="false" customHeight="true" outlineLevel="0" collapsed="false">
      <c r="A68" s="30" t="n">
        <v>67</v>
      </c>
      <c r="B68" s="31" t="n">
        <v>46062</v>
      </c>
      <c r="C68" s="32" t="s">
        <v>108</v>
      </c>
      <c r="D68" s="32" t="s">
        <v>7</v>
      </c>
      <c r="E68" s="33" t="s">
        <v>150</v>
      </c>
      <c r="F68" s="33"/>
      <c r="G68" s="33" t="s">
        <v>94</v>
      </c>
      <c r="H68" s="33"/>
      <c r="I68" s="39" t="s">
        <v>22</v>
      </c>
      <c r="J68" s="33" t="s">
        <v>221</v>
      </c>
      <c r="K68" s="33" t="s">
        <v>222</v>
      </c>
      <c r="L68" s="33" t="s">
        <v>222</v>
      </c>
      <c r="M68" s="39" t="s">
        <v>22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6"/>
    </row>
    <row r="69" customFormat="false" ht="48.75" hidden="false" customHeight="true" outlineLevel="0" collapsed="false">
      <c r="A69" s="30" t="n">
        <v>68</v>
      </c>
      <c r="B69" s="31" t="n">
        <v>46062</v>
      </c>
      <c r="C69" s="32" t="s">
        <v>108</v>
      </c>
      <c r="D69" s="32" t="s">
        <v>6</v>
      </c>
      <c r="E69" s="33" t="s">
        <v>150</v>
      </c>
      <c r="F69" s="33"/>
      <c r="G69" s="33" t="s">
        <v>67</v>
      </c>
      <c r="H69" s="33"/>
      <c r="I69" s="39" t="s">
        <v>22</v>
      </c>
      <c r="J69" s="33" t="s">
        <v>223</v>
      </c>
      <c r="K69" s="33" t="s">
        <v>224</v>
      </c>
      <c r="L69" s="33" t="s">
        <v>215</v>
      </c>
      <c r="M69" s="39" t="s">
        <v>22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6"/>
    </row>
    <row r="70" customFormat="false" ht="48.75" hidden="false" customHeight="true" outlineLevel="0" collapsed="false">
      <c r="A70" s="30" t="n">
        <v>69</v>
      </c>
      <c r="B70" s="31" t="n">
        <v>46062</v>
      </c>
      <c r="C70" s="32" t="s">
        <v>108</v>
      </c>
      <c r="D70" s="32" t="s">
        <v>6</v>
      </c>
      <c r="E70" s="33" t="s">
        <v>150</v>
      </c>
      <c r="F70" s="33"/>
      <c r="G70" s="33" t="s">
        <v>67</v>
      </c>
      <c r="H70" s="33"/>
      <c r="I70" s="39" t="s">
        <v>22</v>
      </c>
      <c r="J70" s="33" t="s">
        <v>225</v>
      </c>
      <c r="K70" s="33"/>
      <c r="L70" s="33" t="s">
        <v>215</v>
      </c>
      <c r="M70" s="39" t="s">
        <v>22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6"/>
    </row>
    <row r="71" customFormat="false" ht="48.75" hidden="false" customHeight="true" outlineLevel="0" collapsed="false">
      <c r="A71" s="30" t="n">
        <v>70</v>
      </c>
      <c r="B71" s="31" t="n">
        <v>46028</v>
      </c>
      <c r="C71" s="32" t="s">
        <v>108</v>
      </c>
      <c r="D71" s="32" t="s">
        <v>6</v>
      </c>
      <c r="E71" s="33" t="s">
        <v>150</v>
      </c>
      <c r="F71" s="33"/>
      <c r="G71" s="33" t="s">
        <v>61</v>
      </c>
      <c r="H71" s="33" t="s">
        <v>95</v>
      </c>
      <c r="I71" s="39" t="s">
        <v>22</v>
      </c>
      <c r="J71" s="33"/>
      <c r="K71" s="33"/>
      <c r="L71" s="33" t="s">
        <v>136</v>
      </c>
      <c r="M71" s="39" t="s">
        <v>22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6"/>
    </row>
    <row r="72" customFormat="false" ht="48.75" hidden="false" customHeight="true" outlineLevel="0" collapsed="false">
      <c r="A72" s="30" t="n">
        <v>71</v>
      </c>
      <c r="B72" s="31" t="n">
        <v>46028</v>
      </c>
      <c r="C72" s="32" t="s">
        <v>108</v>
      </c>
      <c r="D72" s="32" t="s">
        <v>6</v>
      </c>
      <c r="E72" s="33" t="s">
        <v>150</v>
      </c>
      <c r="F72" s="33"/>
      <c r="G72" s="33" t="s">
        <v>96</v>
      </c>
      <c r="H72" s="33" t="s">
        <v>97</v>
      </c>
      <c r="I72" s="39" t="s">
        <v>22</v>
      </c>
      <c r="J72" s="33" t="s">
        <v>226</v>
      </c>
      <c r="K72" s="33"/>
      <c r="L72" s="33" t="s">
        <v>136</v>
      </c>
      <c r="M72" s="39" t="s">
        <v>22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6"/>
    </row>
    <row r="73" customFormat="false" ht="48.75" hidden="false" customHeight="true" outlineLevel="0" collapsed="false">
      <c r="A73" s="30" t="n">
        <v>72</v>
      </c>
      <c r="B73" s="31" t="n">
        <v>46028</v>
      </c>
      <c r="C73" s="32" t="s">
        <v>108</v>
      </c>
      <c r="D73" s="32" t="s">
        <v>6</v>
      </c>
      <c r="E73" s="33" t="s">
        <v>150</v>
      </c>
      <c r="F73" s="33"/>
      <c r="G73" s="33" t="s">
        <v>96</v>
      </c>
      <c r="H73" s="33" t="s">
        <v>97</v>
      </c>
      <c r="I73" s="39" t="s">
        <v>22</v>
      </c>
      <c r="J73" s="33" t="s">
        <v>227</v>
      </c>
      <c r="K73" s="33"/>
      <c r="L73" s="33" t="s">
        <v>136</v>
      </c>
      <c r="M73" s="39" t="s">
        <v>22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6"/>
    </row>
    <row r="74" customFormat="false" ht="48.75" hidden="false" customHeight="true" outlineLevel="0" collapsed="false">
      <c r="A74" s="30" t="n">
        <v>73</v>
      </c>
      <c r="B74" s="31" t="n">
        <v>46028</v>
      </c>
      <c r="C74" s="32" t="s">
        <v>108</v>
      </c>
      <c r="D74" s="32" t="s">
        <v>6</v>
      </c>
      <c r="E74" s="33" t="s">
        <v>150</v>
      </c>
      <c r="F74" s="33"/>
      <c r="G74" s="33" t="s">
        <v>61</v>
      </c>
      <c r="H74" s="33" t="s">
        <v>65</v>
      </c>
      <c r="I74" s="39" t="s">
        <v>22</v>
      </c>
      <c r="J74" s="33" t="s">
        <v>228</v>
      </c>
      <c r="K74" s="33" t="s">
        <v>229</v>
      </c>
      <c r="L74" s="33" t="s">
        <v>230</v>
      </c>
      <c r="M74" s="39" t="s">
        <v>22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6"/>
    </row>
    <row r="75" customFormat="false" ht="48.75" hidden="false" customHeight="true" outlineLevel="0" collapsed="false">
      <c r="A75" s="30" t="n">
        <v>74</v>
      </c>
      <c r="B75" s="31" t="n">
        <v>46028</v>
      </c>
      <c r="C75" s="32" t="s">
        <v>108</v>
      </c>
      <c r="D75" s="32" t="s">
        <v>29</v>
      </c>
      <c r="E75" s="33" t="s">
        <v>16</v>
      </c>
      <c r="F75" s="33"/>
      <c r="G75" s="33" t="s">
        <v>61</v>
      </c>
      <c r="H75" s="33" t="s">
        <v>62</v>
      </c>
      <c r="I75" s="39" t="s">
        <v>22</v>
      </c>
      <c r="J75" s="33" t="s">
        <v>231</v>
      </c>
      <c r="K75" s="33" t="s">
        <v>230</v>
      </c>
      <c r="L75" s="33" t="s">
        <v>133</v>
      </c>
      <c r="M75" s="39" t="s">
        <v>22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6"/>
    </row>
    <row r="76" customFormat="false" ht="48.75" hidden="false" customHeight="true" outlineLevel="0" collapsed="false">
      <c r="A76" s="30" t="n">
        <v>75</v>
      </c>
      <c r="B76" s="31" t="n">
        <v>46028</v>
      </c>
      <c r="C76" s="32" t="s">
        <v>108</v>
      </c>
      <c r="D76" s="32" t="s">
        <v>6</v>
      </c>
      <c r="E76" s="33" t="s">
        <v>150</v>
      </c>
      <c r="F76" s="33"/>
      <c r="G76" s="33" t="s">
        <v>71</v>
      </c>
      <c r="H76" s="33" t="s">
        <v>98</v>
      </c>
      <c r="I76" s="39" t="s">
        <v>22</v>
      </c>
      <c r="J76" s="33" t="s">
        <v>98</v>
      </c>
      <c r="K76" s="33"/>
      <c r="L76" s="33" t="s">
        <v>232</v>
      </c>
      <c r="M76" s="39" t="s">
        <v>22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6"/>
    </row>
    <row r="77" customFormat="false" ht="48.75" hidden="false" customHeight="true" outlineLevel="0" collapsed="false">
      <c r="A77" s="30" t="n">
        <v>76</v>
      </c>
      <c r="B77" s="31" t="n">
        <v>46028</v>
      </c>
      <c r="C77" s="32" t="s">
        <v>108</v>
      </c>
      <c r="D77" s="32" t="s">
        <v>6</v>
      </c>
      <c r="E77" s="33" t="s">
        <v>150</v>
      </c>
      <c r="F77" s="33"/>
      <c r="G77" s="33" t="s">
        <v>61</v>
      </c>
      <c r="H77" s="33" t="s">
        <v>62</v>
      </c>
      <c r="I77" s="39" t="s">
        <v>22</v>
      </c>
      <c r="J77" s="33" t="s">
        <v>233</v>
      </c>
      <c r="K77" s="33"/>
      <c r="L77" s="33" t="s">
        <v>234</v>
      </c>
      <c r="M77" s="39" t="s">
        <v>22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6"/>
    </row>
    <row r="78" customFormat="false" ht="48.75" hidden="false" customHeight="true" outlineLevel="0" collapsed="false">
      <c r="A78" s="30" t="n">
        <v>77</v>
      </c>
      <c r="B78" s="31" t="n">
        <v>46028</v>
      </c>
      <c r="C78" s="32" t="s">
        <v>108</v>
      </c>
      <c r="D78" s="32" t="s">
        <v>7</v>
      </c>
      <c r="E78" s="33" t="s">
        <v>150</v>
      </c>
      <c r="F78" s="33"/>
      <c r="G78" s="33" t="s">
        <v>42</v>
      </c>
      <c r="H78" s="33" t="s">
        <v>43</v>
      </c>
      <c r="I78" s="39" t="s">
        <v>22</v>
      </c>
      <c r="J78" s="33" t="s">
        <v>235</v>
      </c>
      <c r="K78" s="33" t="s">
        <v>236</v>
      </c>
      <c r="L78" s="33" t="s">
        <v>217</v>
      </c>
      <c r="M78" s="39" t="s">
        <v>22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6"/>
    </row>
    <row r="79" customFormat="false" ht="48.75" hidden="false" customHeight="true" outlineLevel="0" collapsed="false">
      <c r="A79" s="30" t="n">
        <v>78</v>
      </c>
      <c r="B79" s="31" t="n">
        <v>46028</v>
      </c>
      <c r="C79" s="32" t="s">
        <v>108</v>
      </c>
      <c r="D79" s="32" t="s">
        <v>7</v>
      </c>
      <c r="E79" s="33" t="s">
        <v>150</v>
      </c>
      <c r="F79" s="33"/>
      <c r="G79" s="33" t="s">
        <v>42</v>
      </c>
      <c r="H79" s="33" t="s">
        <v>43</v>
      </c>
      <c r="I79" s="39" t="s">
        <v>22</v>
      </c>
      <c r="J79" s="33" t="s">
        <v>237</v>
      </c>
      <c r="K79" s="33" t="s">
        <v>238</v>
      </c>
      <c r="L79" s="33" t="s">
        <v>217</v>
      </c>
      <c r="M79" s="39" t="s">
        <v>22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6"/>
    </row>
    <row r="80" customFormat="false" ht="48.75" hidden="false" customHeight="true" outlineLevel="0" collapsed="false">
      <c r="A80" s="30" t="n">
        <v>79</v>
      </c>
      <c r="B80" s="31" t="n">
        <v>46028</v>
      </c>
      <c r="C80" s="32" t="s">
        <v>108</v>
      </c>
      <c r="D80" s="32" t="s">
        <v>6</v>
      </c>
      <c r="E80" s="33" t="s">
        <v>150</v>
      </c>
      <c r="F80" s="33"/>
      <c r="G80" s="33" t="s">
        <v>42</v>
      </c>
      <c r="H80" s="33" t="s">
        <v>45</v>
      </c>
      <c r="I80" s="39" t="s">
        <v>22</v>
      </c>
      <c r="J80" s="33" t="s">
        <v>239</v>
      </c>
      <c r="K80" s="33" t="s">
        <v>240</v>
      </c>
      <c r="L80" s="33" t="s">
        <v>240</v>
      </c>
      <c r="M80" s="39" t="s">
        <v>22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6"/>
    </row>
    <row r="81" customFormat="false" ht="48.75" hidden="false" customHeight="true" outlineLevel="0" collapsed="false">
      <c r="A81" s="30" t="n">
        <v>80</v>
      </c>
      <c r="B81" s="31" t="n">
        <v>46062</v>
      </c>
      <c r="C81" s="32" t="s">
        <v>108</v>
      </c>
      <c r="D81" s="32" t="s">
        <v>30</v>
      </c>
      <c r="E81" s="33" t="s">
        <v>15</v>
      </c>
      <c r="F81" s="33" t="s">
        <v>15</v>
      </c>
      <c r="G81" s="33" t="s">
        <v>87</v>
      </c>
      <c r="H81" s="33"/>
      <c r="I81" s="33" t="s">
        <v>26</v>
      </c>
      <c r="J81" s="33" t="s">
        <v>241</v>
      </c>
      <c r="K81" s="33"/>
      <c r="L81" s="33" t="s">
        <v>174</v>
      </c>
      <c r="M81" s="33" t="s">
        <v>26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6"/>
    </row>
    <row r="82" customFormat="false" ht="48.75" hidden="false" customHeight="true" outlineLevel="0" collapsed="false">
      <c r="A82" s="30" t="n">
        <v>81</v>
      </c>
      <c r="B82" s="33"/>
      <c r="C82" s="33"/>
      <c r="D82" s="40" t="s">
        <v>242</v>
      </c>
      <c r="E82" s="33" t="s">
        <v>15</v>
      </c>
      <c r="F82" s="33" t="s">
        <v>243</v>
      </c>
      <c r="G82" s="33"/>
      <c r="H82" s="33"/>
      <c r="I82" s="33" t="s">
        <v>110</v>
      </c>
      <c r="J82" s="33" t="s">
        <v>244</v>
      </c>
      <c r="K82" s="33"/>
      <c r="L82" s="33"/>
      <c r="M82" s="33" t="s">
        <v>110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6"/>
    </row>
    <row r="83" customFormat="false" ht="48.75" hidden="false" customHeight="true" outlineLevel="0" collapsed="false">
      <c r="A83" s="30" t="n">
        <v>82</v>
      </c>
      <c r="B83" s="33"/>
      <c r="C83" s="33"/>
      <c r="D83" s="40" t="s">
        <v>245</v>
      </c>
      <c r="E83" s="33"/>
      <c r="F83" s="33"/>
      <c r="G83" s="33"/>
      <c r="H83" s="33"/>
      <c r="I83" s="33" t="s">
        <v>110</v>
      </c>
      <c r="J83" s="33" t="s">
        <v>246</v>
      </c>
      <c r="K83" s="33"/>
      <c r="L83" s="33"/>
      <c r="M83" s="33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6"/>
    </row>
    <row r="84" customFormat="false" ht="48.75" hidden="false" customHeight="true" outlineLevel="0" collapsed="false">
      <c r="A84" s="30" t="n">
        <v>83</v>
      </c>
      <c r="B84" s="33"/>
      <c r="C84" s="33"/>
      <c r="D84" s="40" t="s">
        <v>247</v>
      </c>
      <c r="E84" s="33"/>
      <c r="F84" s="33"/>
      <c r="G84" s="33"/>
      <c r="H84" s="33"/>
      <c r="I84" s="33" t="s">
        <v>110</v>
      </c>
      <c r="J84" s="33" t="s">
        <v>248</v>
      </c>
      <c r="K84" s="33"/>
      <c r="L84" s="33"/>
      <c r="M84" s="33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6"/>
    </row>
    <row r="85" customFormat="false" ht="48.75" hidden="false" customHeight="true" outlineLevel="0" collapsed="false">
      <c r="A85" s="30" t="n">
        <v>84</v>
      </c>
      <c r="B85" s="33"/>
      <c r="C85" s="33"/>
      <c r="D85" s="40" t="s">
        <v>249</v>
      </c>
      <c r="E85" s="33" t="s">
        <v>15</v>
      </c>
      <c r="F85" s="33" t="s">
        <v>250</v>
      </c>
      <c r="G85" s="33"/>
      <c r="H85" s="33"/>
      <c r="I85" s="34" t="s">
        <v>251</v>
      </c>
      <c r="J85" s="33"/>
      <c r="K85" s="33"/>
      <c r="L85" s="33"/>
      <c r="M85" s="34" t="s">
        <v>251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6"/>
    </row>
    <row r="86" customFormat="false" ht="48.75" hidden="false" customHeight="true" outlineLevel="0" collapsed="false">
      <c r="A86" s="30" t="n">
        <v>85</v>
      </c>
      <c r="B86" s="33"/>
      <c r="C86" s="33"/>
      <c r="D86" s="40" t="s">
        <v>252</v>
      </c>
      <c r="E86" s="33" t="s">
        <v>16</v>
      </c>
      <c r="F86" s="33" t="s">
        <v>250</v>
      </c>
      <c r="G86" s="33"/>
      <c r="H86" s="33"/>
      <c r="I86" s="34" t="s">
        <v>251</v>
      </c>
      <c r="J86" s="33"/>
      <c r="K86" s="33"/>
      <c r="L86" s="33"/>
      <c r="M86" s="34" t="s">
        <v>251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6"/>
    </row>
    <row r="87" customFormat="false" ht="48.75" hidden="false" customHeight="true" outlineLevel="0" collapsed="false">
      <c r="A87" s="30" t="n">
        <v>86</v>
      </c>
      <c r="B87" s="33"/>
      <c r="C87" s="33"/>
      <c r="D87" s="40" t="s">
        <v>253</v>
      </c>
      <c r="E87" s="33"/>
      <c r="F87" s="33"/>
      <c r="G87" s="33"/>
      <c r="H87" s="33"/>
      <c r="I87" s="33"/>
      <c r="J87" s="33"/>
      <c r="K87" s="33"/>
      <c r="L87" s="33"/>
      <c r="M87" s="41" t="s">
        <v>254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6"/>
    </row>
    <row r="88" customFormat="false" ht="48.75" hidden="false" customHeight="true" outlineLevel="0" collapsed="false">
      <c r="A88" s="30" t="n">
        <v>87</v>
      </c>
      <c r="B88" s="7"/>
      <c r="C88" s="7"/>
      <c r="D88" s="42" t="s">
        <v>255</v>
      </c>
      <c r="E88" s="7"/>
      <c r="F88" s="7"/>
      <c r="G88" s="7"/>
      <c r="H88" s="7"/>
      <c r="I88" s="41" t="s">
        <v>254</v>
      </c>
      <c r="J88" s="7"/>
      <c r="K88" s="7"/>
      <c r="L88" s="7"/>
      <c r="M88" s="41" t="s">
        <v>254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9"/>
    </row>
    <row r="89" customFormat="false" ht="48.75" hidden="false" customHeight="true" outlineLevel="0" collapsed="false">
      <c r="A89" s="30" t="n">
        <v>88</v>
      </c>
      <c r="B89" s="7"/>
      <c r="C89" s="7"/>
      <c r="D89" s="42" t="s">
        <v>256</v>
      </c>
      <c r="E89" s="7"/>
      <c r="F89" s="7"/>
      <c r="G89" s="7"/>
      <c r="H89" s="7"/>
      <c r="I89" s="7"/>
      <c r="J89" s="41" t="s">
        <v>257</v>
      </c>
      <c r="K89" s="7"/>
      <c r="L89" s="7"/>
      <c r="M89" s="7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9"/>
    </row>
    <row r="90" customFormat="false" ht="48.75" hidden="false" customHeight="true" outlineLevel="0" collapsed="false">
      <c r="A90" s="43" t="n">
        <v>102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9"/>
    </row>
    <row r="91" customFormat="false" ht="48.75" hidden="false" customHeight="true" outlineLevel="0" collapsed="false">
      <c r="A91" s="30" t="n">
        <v>103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9"/>
    </row>
    <row r="92" customFormat="false" ht="48.75" hidden="false" customHeight="true" outlineLevel="0" collapsed="false">
      <c r="A92" s="30" t="n">
        <v>104</v>
      </c>
      <c r="B92" s="2"/>
      <c r="C92" s="2"/>
      <c r="D92" s="2"/>
      <c r="E92" s="2"/>
      <c r="F92" s="2"/>
      <c r="G92" s="2" t="s">
        <v>99</v>
      </c>
      <c r="H92" s="2" t="s">
        <v>100</v>
      </c>
      <c r="I92" s="2"/>
      <c r="J92" s="2" t="s">
        <v>124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9"/>
    </row>
    <row r="93" customFormat="false" ht="48.75" hidden="false" customHeight="true" outlineLevel="0" collapsed="false">
      <c r="A93" s="30" t="n">
        <v>105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9"/>
    </row>
    <row r="94" customFormat="false" ht="48.75" hidden="false" customHeight="true" outlineLevel="0" collapsed="false">
      <c r="A94" s="30" t="n">
        <v>106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9"/>
    </row>
    <row r="95" customFormat="false" ht="48.75" hidden="false" customHeight="true" outlineLevel="0" collapsed="false">
      <c r="A95" s="30" t="n">
        <v>107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9"/>
    </row>
    <row r="96" customFormat="false" ht="48.75" hidden="false" customHeight="true" outlineLevel="0" collapsed="false">
      <c r="A96" s="30" t="n">
        <v>108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9"/>
    </row>
    <row r="97" customFormat="false" ht="48.75" hidden="false" customHeight="true" outlineLevel="0" collapsed="false">
      <c r="A97" s="30" t="n">
        <v>109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9"/>
    </row>
    <row r="98" customFormat="false" ht="48.75" hidden="false" customHeight="true" outlineLevel="0" collapsed="false">
      <c r="A98" s="30" t="n">
        <v>110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9"/>
    </row>
    <row r="99" customFormat="false" ht="48.75" hidden="false" customHeight="true" outlineLevel="0" collapsed="false">
      <c r="A99" s="30" t="n">
        <v>111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9"/>
    </row>
    <row r="100" customFormat="false" ht="48.75" hidden="false" customHeight="true" outlineLevel="0" collapsed="false">
      <c r="A100" s="30" t="n">
        <v>112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9"/>
    </row>
    <row r="101" customFormat="false" ht="48.75" hidden="false" customHeight="true" outlineLevel="0" collapsed="false">
      <c r="A101" s="30" t="n">
        <v>113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9"/>
    </row>
    <row r="102" customFormat="false" ht="48.75" hidden="false" customHeight="true" outlineLevel="0" collapsed="false">
      <c r="A102" s="30" t="n">
        <v>114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9"/>
    </row>
    <row r="103" customFormat="false" ht="48.75" hidden="false" customHeight="true" outlineLevel="0" collapsed="false">
      <c r="A103" s="30" t="n">
        <v>115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9"/>
    </row>
    <row r="104" customFormat="false" ht="48.75" hidden="false" customHeight="true" outlineLevel="0" collapsed="false">
      <c r="A104" s="30" t="n">
        <v>116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9"/>
    </row>
    <row r="105" customFormat="false" ht="48.75" hidden="false" customHeight="true" outlineLevel="0" collapsed="false">
      <c r="A105" s="30" t="n">
        <v>117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9"/>
    </row>
    <row r="106" customFormat="false" ht="48.75" hidden="false" customHeight="true" outlineLevel="0" collapsed="false">
      <c r="A106" s="30" t="n">
        <v>118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9"/>
    </row>
    <row r="107" customFormat="false" ht="48.75" hidden="false" customHeight="true" outlineLevel="0" collapsed="false">
      <c r="A107" s="30" t="n">
        <v>119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9"/>
    </row>
    <row r="108" customFormat="false" ht="48.75" hidden="false" customHeight="true" outlineLevel="0" collapsed="false">
      <c r="A108" s="30" t="n">
        <v>120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9"/>
    </row>
    <row r="109" customFormat="false" ht="48.75" hidden="false" customHeight="true" outlineLevel="0" collapsed="false">
      <c r="A109" s="30" t="n">
        <v>121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9"/>
    </row>
    <row r="110" customFormat="false" ht="48.75" hidden="false" customHeight="true" outlineLevel="0" collapsed="false">
      <c r="A110" s="30" t="n">
        <v>122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9"/>
    </row>
    <row r="111" customFormat="false" ht="48.75" hidden="false" customHeight="true" outlineLevel="0" collapsed="false">
      <c r="A111" s="30" t="n">
        <v>123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9"/>
    </row>
    <row r="112" customFormat="false" ht="48.75" hidden="false" customHeight="true" outlineLevel="0" collapsed="false">
      <c r="A112" s="30" t="n">
        <v>124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9"/>
    </row>
    <row r="113" customFormat="false" ht="48.75" hidden="false" customHeight="true" outlineLevel="0" collapsed="false">
      <c r="A113" s="30" t="n">
        <v>125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9"/>
    </row>
    <row r="114" customFormat="false" ht="48.75" hidden="false" customHeight="true" outlineLevel="0" collapsed="false">
      <c r="A114" s="30" t="n">
        <v>126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9"/>
    </row>
    <row r="115" customFormat="false" ht="48.75" hidden="false" customHeight="true" outlineLevel="0" collapsed="false">
      <c r="A115" s="30" t="n">
        <v>127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9"/>
    </row>
    <row r="116" customFormat="false" ht="48.75" hidden="false" customHeight="true" outlineLevel="0" collapsed="false">
      <c r="A116" s="30" t="n">
        <v>128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9"/>
    </row>
    <row r="117" customFormat="false" ht="48.75" hidden="false" customHeight="true" outlineLevel="0" collapsed="false">
      <c r="A117" s="30" t="n">
        <v>129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9"/>
    </row>
    <row r="118" customFormat="false" ht="48.75" hidden="false" customHeight="true" outlineLevel="0" collapsed="false">
      <c r="A118" s="30" t="n">
        <v>130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9"/>
    </row>
    <row r="119" customFormat="false" ht="48.75" hidden="false" customHeight="true" outlineLevel="0" collapsed="false">
      <c r="A119" s="30" t="n">
        <v>131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9"/>
    </row>
    <row r="120" customFormat="false" ht="48.75" hidden="false" customHeight="true" outlineLevel="0" collapsed="false">
      <c r="A120" s="30" t="n">
        <v>132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9"/>
    </row>
    <row r="121" customFormat="false" ht="48.75" hidden="false" customHeight="true" outlineLevel="0" collapsed="false">
      <c r="A121" s="30" t="n">
        <v>133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9"/>
    </row>
    <row r="122" customFormat="false" ht="48.75" hidden="false" customHeight="true" outlineLevel="0" collapsed="false">
      <c r="A122" s="30" t="n">
        <v>134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9"/>
    </row>
    <row r="123" customFormat="false" ht="48.75" hidden="false" customHeight="true" outlineLevel="0" collapsed="false">
      <c r="A123" s="30" t="n">
        <v>135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9"/>
    </row>
    <row r="124" customFormat="false" ht="48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9"/>
    </row>
    <row r="125" customFormat="false" ht="48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9"/>
    </row>
    <row r="126" customFormat="false" ht="48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9"/>
    </row>
    <row r="127" customFormat="false" ht="48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9"/>
    </row>
    <row r="128" customFormat="false" ht="48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9"/>
    </row>
    <row r="129" customFormat="false" ht="48.75" hidden="false" customHeight="true" outlineLevel="0" collapsed="false">
      <c r="A129" s="2"/>
      <c r="B129" s="44"/>
      <c r="C129" s="44"/>
      <c r="D129" s="4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9"/>
    </row>
    <row r="130" customFormat="false" ht="48.75" hidden="false" customHeight="true" outlineLevel="0" collapsed="false">
      <c r="A130" s="2"/>
      <c r="B130" s="44"/>
      <c r="C130" s="44"/>
      <c r="D130" s="4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9"/>
    </row>
    <row r="131" customFormat="false" ht="48.75" hidden="false" customHeight="true" outlineLevel="0" collapsed="false">
      <c r="A131" s="2"/>
      <c r="B131" s="44"/>
      <c r="C131" s="44"/>
      <c r="D131" s="4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9"/>
    </row>
    <row r="132" customFormat="false" ht="48.75" hidden="false" customHeight="true" outlineLevel="0" collapsed="false">
      <c r="A132" s="2"/>
      <c r="B132" s="44"/>
      <c r="C132" s="44"/>
      <c r="D132" s="4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9"/>
    </row>
    <row r="133" customFormat="false" ht="48.75" hidden="false" customHeight="true" outlineLevel="0" collapsed="false">
      <c r="A133" s="2"/>
      <c r="B133" s="44"/>
      <c r="C133" s="44"/>
      <c r="D133" s="4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9"/>
    </row>
    <row r="134" customFormat="false" ht="48.75" hidden="false" customHeight="true" outlineLevel="0" collapsed="false">
      <c r="A134" s="2"/>
      <c r="B134" s="44"/>
      <c r="C134" s="44"/>
      <c r="D134" s="4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9"/>
    </row>
    <row r="135" customFormat="false" ht="48.75" hidden="false" customHeight="true" outlineLevel="0" collapsed="false">
      <c r="A135" s="2"/>
      <c r="B135" s="44"/>
      <c r="C135" s="44"/>
      <c r="D135" s="4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9"/>
    </row>
    <row r="136" customFormat="false" ht="48.75" hidden="false" customHeight="true" outlineLevel="0" collapsed="false">
      <c r="A136" s="2"/>
      <c r="B136" s="44"/>
      <c r="C136" s="44"/>
      <c r="D136" s="4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9"/>
    </row>
    <row r="137" customFormat="false" ht="48.75" hidden="false" customHeight="true" outlineLevel="0" collapsed="false">
      <c r="A137" s="2"/>
      <c r="B137" s="44"/>
      <c r="C137" s="44"/>
      <c r="D137" s="4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9"/>
    </row>
    <row r="138" customFormat="false" ht="48.75" hidden="false" customHeight="true" outlineLevel="0" collapsed="false">
      <c r="A138" s="2"/>
      <c r="B138" s="44"/>
      <c r="C138" s="44"/>
      <c r="D138" s="4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9"/>
    </row>
    <row r="139" customFormat="false" ht="48.75" hidden="false" customHeight="true" outlineLevel="0" collapsed="false">
      <c r="A139" s="2"/>
      <c r="B139" s="44"/>
      <c r="C139" s="44"/>
      <c r="D139" s="4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9"/>
    </row>
    <row r="140" customFormat="false" ht="48.75" hidden="false" customHeight="true" outlineLevel="0" collapsed="false">
      <c r="A140" s="2"/>
      <c r="B140" s="44"/>
      <c r="C140" s="44"/>
      <c r="D140" s="4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9"/>
    </row>
    <row r="141" customFormat="false" ht="48.75" hidden="false" customHeight="true" outlineLevel="0" collapsed="false">
      <c r="A141" s="2"/>
      <c r="B141" s="44"/>
      <c r="C141" s="44"/>
      <c r="D141" s="4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9"/>
    </row>
    <row r="142" customFormat="false" ht="48.75" hidden="false" customHeight="true" outlineLevel="0" collapsed="false">
      <c r="A142" s="2"/>
      <c r="B142" s="44"/>
      <c r="C142" s="44"/>
      <c r="D142" s="4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9"/>
    </row>
    <row r="143" customFormat="false" ht="48.75" hidden="false" customHeight="true" outlineLevel="0" collapsed="false">
      <c r="A143" s="2"/>
      <c r="B143" s="44"/>
      <c r="C143" s="44"/>
      <c r="D143" s="4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9"/>
    </row>
    <row r="144" customFormat="false" ht="48.75" hidden="false" customHeight="true" outlineLevel="0" collapsed="false">
      <c r="A144" s="2"/>
      <c r="B144" s="44"/>
      <c r="C144" s="44"/>
      <c r="D144" s="4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9"/>
    </row>
    <row r="145" customFormat="false" ht="48.75" hidden="false" customHeight="true" outlineLevel="0" collapsed="false">
      <c r="A145" s="2"/>
      <c r="B145" s="44"/>
      <c r="C145" s="44"/>
      <c r="D145" s="4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9"/>
    </row>
    <row r="146" customFormat="false" ht="48.75" hidden="false" customHeight="true" outlineLevel="0" collapsed="false">
      <c r="A146" s="2"/>
      <c r="B146" s="44"/>
      <c r="C146" s="44"/>
      <c r="D146" s="4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9"/>
    </row>
    <row r="147" customFormat="false" ht="48.75" hidden="false" customHeight="true" outlineLevel="0" collapsed="false">
      <c r="A147" s="2"/>
      <c r="B147" s="44"/>
      <c r="C147" s="44"/>
      <c r="D147" s="4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9"/>
    </row>
    <row r="148" customFormat="false" ht="48.75" hidden="false" customHeight="true" outlineLevel="0" collapsed="false">
      <c r="A148" s="2"/>
      <c r="B148" s="44"/>
      <c r="C148" s="44"/>
      <c r="D148" s="4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9"/>
    </row>
    <row r="149" customFormat="false" ht="48.75" hidden="false" customHeight="true" outlineLevel="0" collapsed="false">
      <c r="A149" s="2"/>
      <c r="B149" s="44"/>
      <c r="C149" s="44"/>
      <c r="D149" s="4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9"/>
    </row>
    <row r="150" customFormat="false" ht="48.75" hidden="false" customHeight="true" outlineLevel="0" collapsed="false">
      <c r="A150" s="2"/>
      <c r="B150" s="44"/>
      <c r="C150" s="44"/>
      <c r="D150" s="4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9"/>
    </row>
    <row r="151" customFormat="false" ht="48.75" hidden="false" customHeight="true" outlineLevel="0" collapsed="false">
      <c r="A151" s="2"/>
      <c r="B151" s="44"/>
      <c r="C151" s="44"/>
      <c r="D151" s="4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9"/>
    </row>
    <row r="152" customFormat="false" ht="48.75" hidden="false" customHeight="true" outlineLevel="0" collapsed="false">
      <c r="A152" s="2"/>
      <c r="B152" s="44"/>
      <c r="C152" s="44"/>
      <c r="D152" s="4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9"/>
    </row>
    <row r="153" customFormat="false" ht="48.75" hidden="false" customHeight="true" outlineLevel="0" collapsed="false">
      <c r="A153" s="2"/>
      <c r="B153" s="44"/>
      <c r="C153" s="44"/>
      <c r="D153" s="4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9"/>
    </row>
    <row r="154" customFormat="false" ht="48.75" hidden="false" customHeight="true" outlineLevel="0" collapsed="false">
      <c r="A154" s="2"/>
      <c r="B154" s="44"/>
      <c r="C154" s="44"/>
      <c r="D154" s="4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9"/>
    </row>
    <row r="155" customFormat="false" ht="48.75" hidden="false" customHeight="true" outlineLevel="0" collapsed="false">
      <c r="A155" s="2"/>
      <c r="B155" s="44"/>
      <c r="C155" s="44"/>
      <c r="D155" s="4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9"/>
    </row>
    <row r="156" customFormat="false" ht="48.75" hidden="false" customHeight="true" outlineLevel="0" collapsed="false">
      <c r="A156" s="2"/>
      <c r="B156" s="44"/>
      <c r="C156" s="44"/>
      <c r="D156" s="4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9"/>
    </row>
    <row r="157" customFormat="false" ht="48.75" hidden="false" customHeight="true" outlineLevel="0" collapsed="false">
      <c r="A157" s="2"/>
      <c r="B157" s="44"/>
      <c r="C157" s="44"/>
      <c r="D157" s="4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9"/>
    </row>
    <row r="158" customFormat="false" ht="48.75" hidden="false" customHeight="true" outlineLevel="0" collapsed="false">
      <c r="A158" s="2"/>
      <c r="B158" s="44"/>
      <c r="C158" s="44"/>
      <c r="D158" s="4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9"/>
    </row>
    <row r="159" customFormat="false" ht="48.75" hidden="false" customHeight="true" outlineLevel="0" collapsed="false">
      <c r="A159" s="2"/>
      <c r="B159" s="44"/>
      <c r="C159" s="44"/>
      <c r="D159" s="4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9"/>
    </row>
    <row r="160" customFormat="false" ht="48.75" hidden="false" customHeight="true" outlineLevel="0" collapsed="false">
      <c r="A160" s="2"/>
      <c r="B160" s="44"/>
      <c r="C160" s="44"/>
      <c r="D160" s="4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9"/>
    </row>
    <row r="161" customFormat="false" ht="48.75" hidden="false" customHeight="true" outlineLevel="0" collapsed="false">
      <c r="A161" s="2"/>
      <c r="B161" s="44"/>
      <c r="C161" s="44"/>
      <c r="D161" s="4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9"/>
    </row>
    <row r="162" customFormat="false" ht="48.75" hidden="false" customHeight="true" outlineLevel="0" collapsed="false">
      <c r="A162" s="2"/>
      <c r="B162" s="44"/>
      <c r="C162" s="44"/>
      <c r="D162" s="4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9"/>
    </row>
    <row r="163" customFormat="false" ht="48.75" hidden="false" customHeight="true" outlineLevel="0" collapsed="false">
      <c r="A163" s="2"/>
      <c r="B163" s="44"/>
      <c r="C163" s="44"/>
      <c r="D163" s="4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9"/>
    </row>
    <row r="164" customFormat="false" ht="48.75" hidden="false" customHeight="true" outlineLevel="0" collapsed="false">
      <c r="A164" s="2"/>
      <c r="B164" s="44"/>
      <c r="C164" s="44"/>
      <c r="D164" s="4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9"/>
    </row>
    <row r="165" customFormat="false" ht="48.75" hidden="false" customHeight="true" outlineLevel="0" collapsed="false">
      <c r="A165" s="2"/>
      <c r="B165" s="44"/>
      <c r="C165" s="44"/>
      <c r="D165" s="4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9"/>
    </row>
    <row r="166" customFormat="false" ht="48.75" hidden="false" customHeight="true" outlineLevel="0" collapsed="false">
      <c r="A166" s="2"/>
      <c r="B166" s="44"/>
      <c r="C166" s="44"/>
      <c r="D166" s="4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9"/>
    </row>
    <row r="167" customFormat="false" ht="48.75" hidden="false" customHeight="true" outlineLevel="0" collapsed="false">
      <c r="A167" s="2"/>
      <c r="B167" s="44"/>
      <c r="C167" s="44"/>
      <c r="D167" s="4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9"/>
    </row>
    <row r="168" customFormat="false" ht="48.75" hidden="false" customHeight="true" outlineLevel="0" collapsed="false">
      <c r="A168" s="2"/>
      <c r="B168" s="44"/>
      <c r="C168" s="44"/>
      <c r="D168" s="4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9"/>
    </row>
    <row r="169" customFormat="false" ht="48.75" hidden="false" customHeight="true" outlineLevel="0" collapsed="false">
      <c r="A169" s="2"/>
      <c r="B169" s="44"/>
      <c r="C169" s="44"/>
      <c r="D169" s="4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9"/>
    </row>
    <row r="170" customFormat="false" ht="48.75" hidden="false" customHeight="true" outlineLevel="0" collapsed="false">
      <c r="A170" s="2"/>
      <c r="B170" s="44"/>
      <c r="C170" s="44"/>
      <c r="D170" s="4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9"/>
    </row>
    <row r="171" customFormat="false" ht="48.75" hidden="false" customHeight="true" outlineLevel="0" collapsed="false">
      <c r="A171" s="2"/>
      <c r="B171" s="44"/>
      <c r="C171" s="44"/>
      <c r="D171" s="4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9"/>
    </row>
    <row r="172" customFormat="false" ht="48.75" hidden="false" customHeight="true" outlineLevel="0" collapsed="false">
      <c r="A172" s="2"/>
      <c r="B172" s="44"/>
      <c r="C172" s="44"/>
      <c r="D172" s="4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9"/>
    </row>
    <row r="173" customFormat="false" ht="48.75" hidden="false" customHeight="true" outlineLevel="0" collapsed="false">
      <c r="A173" s="2"/>
      <c r="B173" s="44"/>
      <c r="C173" s="44"/>
      <c r="D173" s="4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9"/>
    </row>
    <row r="174" customFormat="false" ht="48.75" hidden="false" customHeight="true" outlineLevel="0" collapsed="false">
      <c r="A174" s="2"/>
      <c r="B174" s="44"/>
      <c r="C174" s="44"/>
      <c r="D174" s="4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9"/>
    </row>
    <row r="175" customFormat="false" ht="48.75" hidden="false" customHeight="true" outlineLevel="0" collapsed="false">
      <c r="A175" s="2"/>
      <c r="B175" s="44"/>
      <c r="C175" s="44"/>
      <c r="D175" s="4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9"/>
    </row>
    <row r="176" customFormat="false" ht="48.75" hidden="false" customHeight="true" outlineLevel="0" collapsed="false">
      <c r="A176" s="2"/>
      <c r="B176" s="44"/>
      <c r="C176" s="44"/>
      <c r="D176" s="4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9"/>
    </row>
    <row r="177" customFormat="false" ht="48.75" hidden="false" customHeight="true" outlineLevel="0" collapsed="false">
      <c r="A177" s="2"/>
      <c r="B177" s="44"/>
      <c r="C177" s="44"/>
      <c r="D177" s="4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9"/>
    </row>
    <row r="178" customFormat="false" ht="48.75" hidden="false" customHeight="true" outlineLevel="0" collapsed="false">
      <c r="A178" s="2"/>
      <c r="B178" s="44"/>
      <c r="C178" s="44"/>
      <c r="D178" s="4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9"/>
    </row>
    <row r="179" customFormat="false" ht="48.75" hidden="false" customHeight="true" outlineLevel="0" collapsed="false">
      <c r="A179" s="2"/>
      <c r="B179" s="44"/>
      <c r="C179" s="44"/>
      <c r="D179" s="4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9"/>
    </row>
    <row r="180" customFormat="false" ht="48.75" hidden="false" customHeight="true" outlineLevel="0" collapsed="false">
      <c r="A180" s="2"/>
      <c r="B180" s="44"/>
      <c r="C180" s="44"/>
      <c r="D180" s="4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9"/>
    </row>
    <row r="181" customFormat="false" ht="48.75" hidden="false" customHeight="true" outlineLevel="0" collapsed="false">
      <c r="A181" s="2"/>
      <c r="B181" s="44"/>
      <c r="C181" s="44"/>
      <c r="D181" s="4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9"/>
    </row>
    <row r="182" customFormat="false" ht="48.75" hidden="false" customHeight="true" outlineLevel="0" collapsed="false">
      <c r="A182" s="2"/>
      <c r="B182" s="44"/>
      <c r="C182" s="44"/>
      <c r="D182" s="4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9"/>
    </row>
    <row r="183" customFormat="false" ht="48.75" hidden="false" customHeight="true" outlineLevel="0" collapsed="false">
      <c r="A183" s="2"/>
      <c r="B183" s="44"/>
      <c r="C183" s="44"/>
      <c r="D183" s="4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9"/>
    </row>
    <row r="184" customFormat="false" ht="48.75" hidden="false" customHeight="true" outlineLevel="0" collapsed="false">
      <c r="A184" s="2"/>
      <c r="B184" s="44"/>
      <c r="C184" s="44"/>
      <c r="D184" s="4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9"/>
    </row>
    <row r="185" customFormat="false" ht="48.75" hidden="false" customHeight="true" outlineLevel="0" collapsed="false">
      <c r="A185" s="2"/>
      <c r="B185" s="44"/>
      <c r="C185" s="44"/>
      <c r="D185" s="4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9"/>
    </row>
    <row r="186" customFormat="false" ht="48.75" hidden="false" customHeight="true" outlineLevel="0" collapsed="false">
      <c r="A186" s="2"/>
      <c r="B186" s="44"/>
      <c r="C186" s="44"/>
      <c r="D186" s="4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9"/>
    </row>
    <row r="187" customFormat="false" ht="48.75" hidden="false" customHeight="true" outlineLevel="0" collapsed="false">
      <c r="A187" s="2"/>
      <c r="B187" s="44"/>
      <c r="C187" s="44"/>
      <c r="D187" s="4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9"/>
    </row>
    <row r="188" customFormat="false" ht="48.75" hidden="false" customHeight="true" outlineLevel="0" collapsed="false">
      <c r="A188" s="2"/>
      <c r="B188" s="44"/>
      <c r="C188" s="44"/>
      <c r="D188" s="4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9"/>
    </row>
    <row r="189" customFormat="false" ht="48.75" hidden="false" customHeight="true" outlineLevel="0" collapsed="false">
      <c r="A189" s="2"/>
      <c r="B189" s="44"/>
      <c r="C189" s="44"/>
      <c r="D189" s="4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9"/>
    </row>
    <row r="190" customFormat="false" ht="48.75" hidden="false" customHeight="true" outlineLevel="0" collapsed="false">
      <c r="A190" s="2"/>
      <c r="B190" s="44"/>
      <c r="C190" s="44"/>
      <c r="D190" s="4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9"/>
    </row>
    <row r="191" customFormat="false" ht="48.75" hidden="false" customHeight="true" outlineLevel="0" collapsed="false">
      <c r="A191" s="2"/>
      <c r="B191" s="44"/>
      <c r="C191" s="44"/>
      <c r="D191" s="4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9"/>
    </row>
    <row r="192" customFormat="false" ht="48.75" hidden="false" customHeight="true" outlineLevel="0" collapsed="false">
      <c r="A192" s="2"/>
      <c r="B192" s="44"/>
      <c r="C192" s="44"/>
      <c r="D192" s="4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9"/>
    </row>
    <row r="193" customFormat="false" ht="48.75" hidden="false" customHeight="true" outlineLevel="0" collapsed="false">
      <c r="A193" s="2"/>
      <c r="B193" s="44"/>
      <c r="C193" s="44"/>
      <c r="D193" s="4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9"/>
    </row>
    <row r="194" customFormat="false" ht="48.75" hidden="false" customHeight="true" outlineLevel="0" collapsed="false">
      <c r="A194" s="2"/>
      <c r="B194" s="44"/>
      <c r="C194" s="44"/>
      <c r="D194" s="4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9"/>
    </row>
    <row r="195" customFormat="false" ht="48.75" hidden="false" customHeight="true" outlineLevel="0" collapsed="false">
      <c r="A195" s="2"/>
      <c r="B195" s="44"/>
      <c r="C195" s="44"/>
      <c r="D195" s="4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9"/>
    </row>
    <row r="196" customFormat="false" ht="48.75" hidden="false" customHeight="true" outlineLevel="0" collapsed="false">
      <c r="A196" s="2"/>
      <c r="B196" s="44"/>
      <c r="C196" s="44"/>
      <c r="D196" s="4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9"/>
    </row>
    <row r="197" customFormat="false" ht="48.75" hidden="false" customHeight="true" outlineLevel="0" collapsed="false">
      <c r="A197" s="2"/>
      <c r="B197" s="44"/>
      <c r="C197" s="44"/>
      <c r="D197" s="4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9"/>
    </row>
    <row r="198" customFormat="false" ht="48.75" hidden="false" customHeight="true" outlineLevel="0" collapsed="false">
      <c r="A198" s="2"/>
      <c r="B198" s="44"/>
      <c r="C198" s="44"/>
      <c r="D198" s="4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9"/>
    </row>
    <row r="199" customFormat="false" ht="48.75" hidden="false" customHeight="true" outlineLevel="0" collapsed="false">
      <c r="A199" s="2"/>
      <c r="B199" s="44"/>
      <c r="C199" s="44"/>
      <c r="D199" s="4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9"/>
    </row>
    <row r="200" customFormat="false" ht="48.75" hidden="false" customHeight="true" outlineLevel="0" collapsed="false">
      <c r="A200" s="2"/>
      <c r="B200" s="44"/>
      <c r="C200" s="44"/>
      <c r="D200" s="4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9"/>
    </row>
    <row r="201" customFormat="false" ht="48.75" hidden="false" customHeight="true" outlineLevel="0" collapsed="false">
      <c r="A201" s="2"/>
      <c r="B201" s="44"/>
      <c r="C201" s="44"/>
      <c r="D201" s="4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9"/>
    </row>
    <row r="202" customFormat="false" ht="48.75" hidden="false" customHeight="true" outlineLevel="0" collapsed="false">
      <c r="A202" s="2"/>
      <c r="B202" s="44"/>
      <c r="C202" s="44"/>
      <c r="D202" s="4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9"/>
    </row>
    <row r="203" customFormat="false" ht="48.75" hidden="false" customHeight="true" outlineLevel="0" collapsed="false">
      <c r="A203" s="2"/>
      <c r="B203" s="44"/>
      <c r="C203" s="44"/>
      <c r="D203" s="4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9"/>
    </row>
    <row r="204" customFormat="false" ht="48.75" hidden="false" customHeight="true" outlineLevel="0" collapsed="false">
      <c r="A204" s="2"/>
      <c r="B204" s="44"/>
      <c r="C204" s="44"/>
      <c r="D204" s="4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9"/>
    </row>
    <row r="205" customFormat="false" ht="48.75" hidden="false" customHeight="true" outlineLevel="0" collapsed="false">
      <c r="A205" s="2"/>
      <c r="B205" s="44"/>
      <c r="C205" s="44"/>
      <c r="D205" s="4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9"/>
    </row>
    <row r="206" customFormat="false" ht="48.75" hidden="false" customHeight="true" outlineLevel="0" collapsed="false">
      <c r="A206" s="2"/>
      <c r="B206" s="44"/>
      <c r="C206" s="44"/>
      <c r="D206" s="4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9"/>
    </row>
    <row r="207" customFormat="false" ht="48.75" hidden="false" customHeight="true" outlineLevel="0" collapsed="false">
      <c r="A207" s="2"/>
      <c r="B207" s="44"/>
      <c r="C207" s="44"/>
      <c r="D207" s="4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9"/>
    </row>
    <row r="208" customFormat="false" ht="48.75" hidden="false" customHeight="true" outlineLevel="0" collapsed="false">
      <c r="A208" s="2"/>
      <c r="B208" s="44"/>
      <c r="C208" s="44"/>
      <c r="D208" s="4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9"/>
    </row>
    <row r="209" customFormat="false" ht="48.75" hidden="false" customHeight="true" outlineLevel="0" collapsed="false">
      <c r="A209" s="2"/>
      <c r="B209" s="44"/>
      <c r="C209" s="44"/>
      <c r="D209" s="4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9"/>
    </row>
    <row r="210" customFormat="false" ht="48.75" hidden="false" customHeight="true" outlineLevel="0" collapsed="false">
      <c r="A210" s="2"/>
      <c r="B210" s="44"/>
      <c r="C210" s="44"/>
      <c r="D210" s="4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9"/>
    </row>
    <row r="211" customFormat="false" ht="48.75" hidden="false" customHeight="true" outlineLevel="0" collapsed="false">
      <c r="A211" s="2"/>
      <c r="B211" s="44"/>
      <c r="C211" s="44"/>
      <c r="D211" s="4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9"/>
    </row>
    <row r="212" customFormat="false" ht="48.75" hidden="false" customHeight="true" outlineLevel="0" collapsed="false">
      <c r="A212" s="2"/>
      <c r="B212" s="44"/>
      <c r="C212" s="44"/>
      <c r="D212" s="4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9"/>
    </row>
    <row r="213" customFormat="false" ht="48.75" hidden="false" customHeight="true" outlineLevel="0" collapsed="false">
      <c r="A213" s="2"/>
      <c r="B213" s="44"/>
      <c r="C213" s="44"/>
      <c r="D213" s="4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9"/>
    </row>
    <row r="214" customFormat="false" ht="48.75" hidden="false" customHeight="true" outlineLevel="0" collapsed="false">
      <c r="A214" s="2"/>
      <c r="B214" s="44"/>
      <c r="C214" s="44"/>
      <c r="D214" s="4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9"/>
    </row>
    <row r="215" customFormat="false" ht="48.75" hidden="false" customHeight="true" outlineLevel="0" collapsed="false">
      <c r="A215" s="2"/>
      <c r="B215" s="44"/>
      <c r="C215" s="44"/>
      <c r="D215" s="4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9"/>
    </row>
    <row r="216" customFormat="false" ht="48.75" hidden="false" customHeight="true" outlineLevel="0" collapsed="false">
      <c r="A216" s="2"/>
      <c r="B216" s="44"/>
      <c r="C216" s="44"/>
      <c r="D216" s="4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9"/>
    </row>
    <row r="217" customFormat="false" ht="48.75" hidden="false" customHeight="true" outlineLevel="0" collapsed="false">
      <c r="A217" s="2"/>
      <c r="B217" s="44"/>
      <c r="C217" s="44"/>
      <c r="D217" s="4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9"/>
    </row>
    <row r="218" customFormat="false" ht="48.75" hidden="false" customHeight="true" outlineLevel="0" collapsed="false">
      <c r="A218" s="2"/>
      <c r="B218" s="44"/>
      <c r="C218" s="44"/>
      <c r="D218" s="4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9"/>
    </row>
    <row r="219" customFormat="false" ht="48.75" hidden="false" customHeight="true" outlineLevel="0" collapsed="false">
      <c r="A219" s="2"/>
      <c r="B219" s="44"/>
      <c r="C219" s="44"/>
      <c r="D219" s="4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9"/>
    </row>
    <row r="220" customFormat="false" ht="48.75" hidden="false" customHeight="true" outlineLevel="0" collapsed="false">
      <c r="A220" s="2"/>
      <c r="B220" s="44"/>
      <c r="C220" s="44"/>
      <c r="D220" s="4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9"/>
    </row>
    <row r="221" customFormat="false" ht="48.75" hidden="false" customHeight="true" outlineLevel="0" collapsed="false">
      <c r="A221" s="2"/>
      <c r="B221" s="44"/>
      <c r="C221" s="44"/>
      <c r="D221" s="4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9"/>
    </row>
    <row r="222" customFormat="false" ht="48.75" hidden="false" customHeight="true" outlineLevel="0" collapsed="false">
      <c r="A222" s="2"/>
      <c r="B222" s="44"/>
      <c r="C222" s="44"/>
      <c r="D222" s="4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9"/>
    </row>
    <row r="223" customFormat="false" ht="48.75" hidden="false" customHeight="true" outlineLevel="0" collapsed="false">
      <c r="A223" s="2"/>
      <c r="B223" s="44"/>
      <c r="C223" s="44"/>
      <c r="D223" s="4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9"/>
    </row>
    <row r="224" customFormat="false" ht="48.75" hidden="false" customHeight="true" outlineLevel="0" collapsed="false">
      <c r="A224" s="2"/>
      <c r="B224" s="44"/>
      <c r="C224" s="44"/>
      <c r="D224" s="4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9"/>
    </row>
    <row r="225" customFormat="false" ht="48.75" hidden="false" customHeight="true" outlineLevel="0" collapsed="false">
      <c r="A225" s="2"/>
      <c r="B225" s="44"/>
      <c r="C225" s="44"/>
      <c r="D225" s="4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9"/>
    </row>
    <row r="226" customFormat="false" ht="48.75" hidden="false" customHeight="true" outlineLevel="0" collapsed="false">
      <c r="A226" s="2"/>
      <c r="B226" s="44"/>
      <c r="C226" s="44"/>
      <c r="D226" s="4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9"/>
    </row>
    <row r="227" customFormat="false" ht="48.75" hidden="false" customHeight="true" outlineLevel="0" collapsed="false">
      <c r="A227" s="2"/>
      <c r="B227" s="44"/>
      <c r="C227" s="44"/>
      <c r="D227" s="4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9"/>
    </row>
    <row r="228" customFormat="false" ht="48.75" hidden="false" customHeight="true" outlineLevel="0" collapsed="false">
      <c r="A228" s="2"/>
      <c r="B228" s="44"/>
      <c r="C228" s="44"/>
      <c r="D228" s="4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9"/>
    </row>
    <row r="229" customFormat="false" ht="48.75" hidden="false" customHeight="true" outlineLevel="0" collapsed="false">
      <c r="A229" s="2"/>
      <c r="B229" s="44"/>
      <c r="C229" s="44"/>
      <c r="D229" s="4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9"/>
    </row>
    <row r="230" customFormat="false" ht="48.75" hidden="false" customHeight="true" outlineLevel="0" collapsed="false">
      <c r="A230" s="2"/>
      <c r="B230" s="44"/>
      <c r="C230" s="44"/>
      <c r="D230" s="4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9"/>
    </row>
    <row r="231" customFormat="false" ht="48.75" hidden="false" customHeight="true" outlineLevel="0" collapsed="false">
      <c r="A231" s="2"/>
      <c r="B231" s="44"/>
      <c r="C231" s="44"/>
      <c r="D231" s="4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9"/>
    </row>
    <row r="232" customFormat="false" ht="48.75" hidden="false" customHeight="true" outlineLevel="0" collapsed="false">
      <c r="A232" s="2"/>
      <c r="B232" s="44"/>
      <c r="C232" s="44"/>
      <c r="D232" s="4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9"/>
    </row>
    <row r="233" customFormat="false" ht="48.75" hidden="false" customHeight="true" outlineLevel="0" collapsed="false">
      <c r="A233" s="2"/>
      <c r="B233" s="44"/>
      <c r="C233" s="44"/>
      <c r="D233" s="4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9"/>
    </row>
    <row r="234" customFormat="false" ht="48.75" hidden="false" customHeight="true" outlineLevel="0" collapsed="false">
      <c r="A234" s="2"/>
      <c r="B234" s="44"/>
      <c r="C234" s="44"/>
      <c r="D234" s="4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9"/>
    </row>
    <row r="235" customFormat="false" ht="48.75" hidden="false" customHeight="true" outlineLevel="0" collapsed="false">
      <c r="A235" s="2"/>
      <c r="B235" s="44"/>
      <c r="C235" s="44"/>
      <c r="D235" s="4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9"/>
    </row>
    <row r="236" customFormat="false" ht="48.75" hidden="false" customHeight="true" outlineLevel="0" collapsed="false">
      <c r="A236" s="2"/>
      <c r="B236" s="44"/>
      <c r="C236" s="44"/>
      <c r="D236" s="4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9"/>
    </row>
    <row r="237" customFormat="false" ht="48.75" hidden="false" customHeight="true" outlineLevel="0" collapsed="false">
      <c r="A237" s="2"/>
      <c r="B237" s="44"/>
      <c r="C237" s="44"/>
      <c r="D237" s="4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9"/>
    </row>
    <row r="238" customFormat="false" ht="48.75" hidden="false" customHeight="true" outlineLevel="0" collapsed="false">
      <c r="A238" s="2"/>
      <c r="B238" s="44"/>
      <c r="C238" s="44"/>
      <c r="D238" s="4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9"/>
    </row>
    <row r="239" customFormat="false" ht="48.75" hidden="false" customHeight="true" outlineLevel="0" collapsed="false">
      <c r="A239" s="2"/>
      <c r="B239" s="44"/>
      <c r="C239" s="44"/>
      <c r="D239" s="4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9"/>
    </row>
    <row r="240" customFormat="false" ht="48.75" hidden="false" customHeight="true" outlineLevel="0" collapsed="false">
      <c r="A240" s="2"/>
      <c r="B240" s="44"/>
      <c r="C240" s="44"/>
      <c r="D240" s="4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9"/>
    </row>
    <row r="241" customFormat="false" ht="48.75" hidden="false" customHeight="true" outlineLevel="0" collapsed="false">
      <c r="A241" s="2"/>
      <c r="B241" s="44"/>
      <c r="C241" s="44"/>
      <c r="D241" s="4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9"/>
    </row>
    <row r="242" customFormat="false" ht="48.75" hidden="false" customHeight="true" outlineLevel="0" collapsed="false">
      <c r="A242" s="2"/>
      <c r="B242" s="44"/>
      <c r="C242" s="44"/>
      <c r="D242" s="4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9"/>
    </row>
    <row r="243" customFormat="false" ht="48.75" hidden="false" customHeight="true" outlineLevel="0" collapsed="false">
      <c r="A243" s="2"/>
      <c r="B243" s="44"/>
      <c r="C243" s="44"/>
      <c r="D243" s="4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9"/>
    </row>
    <row r="244" customFormat="false" ht="48.75" hidden="false" customHeight="true" outlineLevel="0" collapsed="false">
      <c r="A244" s="2"/>
      <c r="B244" s="44"/>
      <c r="C244" s="44"/>
      <c r="D244" s="4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9"/>
    </row>
    <row r="245" customFormat="false" ht="48.75" hidden="false" customHeight="true" outlineLevel="0" collapsed="false">
      <c r="A245" s="2"/>
      <c r="B245" s="44"/>
      <c r="C245" s="44"/>
      <c r="D245" s="4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9"/>
    </row>
    <row r="246" customFormat="false" ht="48.75" hidden="false" customHeight="true" outlineLevel="0" collapsed="false">
      <c r="A246" s="2"/>
      <c r="B246" s="44"/>
      <c r="C246" s="44"/>
      <c r="D246" s="4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9"/>
    </row>
    <row r="247" customFormat="false" ht="48.75" hidden="false" customHeight="true" outlineLevel="0" collapsed="false">
      <c r="A247" s="2"/>
      <c r="B247" s="44"/>
      <c r="C247" s="44"/>
      <c r="D247" s="4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9"/>
    </row>
    <row r="248" customFormat="false" ht="48.75" hidden="false" customHeight="true" outlineLevel="0" collapsed="false">
      <c r="A248" s="2"/>
      <c r="B248" s="44"/>
      <c r="C248" s="44"/>
      <c r="D248" s="4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9"/>
    </row>
    <row r="249" customFormat="false" ht="48.75" hidden="false" customHeight="true" outlineLevel="0" collapsed="false">
      <c r="A249" s="2"/>
      <c r="B249" s="44"/>
      <c r="C249" s="44"/>
      <c r="D249" s="4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9"/>
    </row>
    <row r="250" customFormat="false" ht="48.75" hidden="false" customHeight="true" outlineLevel="0" collapsed="false">
      <c r="A250" s="2"/>
      <c r="B250" s="44"/>
      <c r="C250" s="44"/>
      <c r="D250" s="4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9"/>
    </row>
    <row r="251" customFormat="false" ht="48.75" hidden="false" customHeight="true" outlineLevel="0" collapsed="false">
      <c r="A251" s="2"/>
      <c r="B251" s="44"/>
      <c r="C251" s="44"/>
      <c r="D251" s="4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9"/>
    </row>
    <row r="252" customFormat="false" ht="48.75" hidden="false" customHeight="true" outlineLevel="0" collapsed="false">
      <c r="A252" s="2"/>
      <c r="B252" s="44"/>
      <c r="C252" s="44"/>
      <c r="D252" s="4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9"/>
    </row>
    <row r="253" customFormat="false" ht="48.75" hidden="false" customHeight="true" outlineLevel="0" collapsed="false">
      <c r="A253" s="2"/>
      <c r="B253" s="44"/>
      <c r="C253" s="44"/>
      <c r="D253" s="4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9"/>
    </row>
    <row r="254" customFormat="false" ht="48.75" hidden="false" customHeight="true" outlineLevel="0" collapsed="false">
      <c r="A254" s="2"/>
      <c r="B254" s="44"/>
      <c r="C254" s="44"/>
      <c r="D254" s="4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9"/>
    </row>
    <row r="255" customFormat="false" ht="48.75" hidden="false" customHeight="true" outlineLevel="0" collapsed="false">
      <c r="A255" s="2"/>
      <c r="B255" s="44"/>
      <c r="C255" s="44"/>
      <c r="D255" s="4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9"/>
    </row>
    <row r="256" customFormat="false" ht="48.75" hidden="false" customHeight="true" outlineLevel="0" collapsed="false">
      <c r="A256" s="2"/>
      <c r="B256" s="44"/>
      <c r="C256" s="44"/>
      <c r="D256" s="4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9"/>
    </row>
    <row r="257" customFormat="false" ht="48.75" hidden="false" customHeight="true" outlineLevel="0" collapsed="false">
      <c r="A257" s="2"/>
      <c r="B257" s="44"/>
      <c r="C257" s="44"/>
      <c r="D257" s="4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9"/>
    </row>
    <row r="258" customFormat="false" ht="48.75" hidden="false" customHeight="true" outlineLevel="0" collapsed="false">
      <c r="A258" s="2"/>
      <c r="B258" s="44"/>
      <c r="C258" s="44"/>
      <c r="D258" s="4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9"/>
    </row>
    <row r="259" customFormat="false" ht="48.75" hidden="false" customHeight="true" outlineLevel="0" collapsed="false">
      <c r="A259" s="2"/>
      <c r="B259" s="44"/>
      <c r="C259" s="44"/>
      <c r="D259" s="4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9"/>
    </row>
    <row r="260" customFormat="false" ht="48.75" hidden="false" customHeight="true" outlineLevel="0" collapsed="false">
      <c r="A260" s="2"/>
      <c r="B260" s="44"/>
      <c r="C260" s="44"/>
      <c r="D260" s="4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9"/>
    </row>
    <row r="261" customFormat="false" ht="48.75" hidden="false" customHeight="true" outlineLevel="0" collapsed="false">
      <c r="A261" s="2"/>
      <c r="B261" s="44"/>
      <c r="C261" s="44"/>
      <c r="D261" s="4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9"/>
    </row>
    <row r="262" customFormat="false" ht="48.75" hidden="false" customHeight="true" outlineLevel="0" collapsed="false">
      <c r="A262" s="2"/>
      <c r="B262" s="44"/>
      <c r="C262" s="44"/>
      <c r="D262" s="4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9"/>
    </row>
    <row r="263" customFormat="false" ht="48.75" hidden="false" customHeight="true" outlineLevel="0" collapsed="false">
      <c r="A263" s="2"/>
      <c r="B263" s="44"/>
      <c r="C263" s="44"/>
      <c r="D263" s="4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9"/>
    </row>
    <row r="264" customFormat="false" ht="48.75" hidden="false" customHeight="true" outlineLevel="0" collapsed="false">
      <c r="A264" s="2"/>
      <c r="B264" s="44"/>
      <c r="C264" s="44"/>
      <c r="D264" s="4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9"/>
    </row>
    <row r="265" customFormat="false" ht="48.75" hidden="false" customHeight="true" outlineLevel="0" collapsed="false">
      <c r="A265" s="2"/>
      <c r="B265" s="44"/>
      <c r="C265" s="44"/>
      <c r="D265" s="4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9"/>
    </row>
    <row r="266" customFormat="false" ht="48.75" hidden="false" customHeight="true" outlineLevel="0" collapsed="false">
      <c r="A266" s="2"/>
      <c r="B266" s="44"/>
      <c r="C266" s="44"/>
      <c r="D266" s="4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9"/>
    </row>
    <row r="267" customFormat="false" ht="48.75" hidden="false" customHeight="true" outlineLevel="0" collapsed="false">
      <c r="A267" s="2"/>
      <c r="B267" s="44"/>
      <c r="C267" s="44"/>
      <c r="D267" s="4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9"/>
    </row>
    <row r="268" customFormat="false" ht="48.75" hidden="false" customHeight="true" outlineLevel="0" collapsed="false">
      <c r="A268" s="2"/>
      <c r="B268" s="44"/>
      <c r="C268" s="44"/>
      <c r="D268" s="4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9"/>
    </row>
    <row r="269" customFormat="false" ht="48.75" hidden="false" customHeight="true" outlineLevel="0" collapsed="false">
      <c r="A269" s="2"/>
      <c r="B269" s="44"/>
      <c r="C269" s="44"/>
      <c r="D269" s="4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9"/>
    </row>
    <row r="270" customFormat="false" ht="48.75" hidden="false" customHeight="true" outlineLevel="0" collapsed="false">
      <c r="A270" s="2"/>
      <c r="B270" s="44"/>
      <c r="C270" s="44"/>
      <c r="D270" s="4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9"/>
    </row>
    <row r="271" customFormat="false" ht="48.75" hidden="false" customHeight="true" outlineLevel="0" collapsed="false">
      <c r="A271" s="2"/>
      <c r="B271" s="44"/>
      <c r="C271" s="44"/>
      <c r="D271" s="4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9"/>
    </row>
    <row r="272" customFormat="false" ht="48.75" hidden="false" customHeight="true" outlineLevel="0" collapsed="false">
      <c r="A272" s="2"/>
      <c r="B272" s="44"/>
      <c r="C272" s="44"/>
      <c r="D272" s="4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9"/>
    </row>
    <row r="273" customFormat="false" ht="48.75" hidden="false" customHeight="true" outlineLevel="0" collapsed="false">
      <c r="A273" s="2"/>
      <c r="B273" s="44"/>
      <c r="C273" s="44"/>
      <c r="D273" s="4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9"/>
    </row>
    <row r="274" customFormat="false" ht="48.75" hidden="false" customHeight="true" outlineLevel="0" collapsed="false">
      <c r="A274" s="2"/>
      <c r="B274" s="44"/>
      <c r="C274" s="44"/>
      <c r="D274" s="4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9"/>
    </row>
    <row r="275" customFormat="false" ht="48.75" hidden="false" customHeight="true" outlineLevel="0" collapsed="false">
      <c r="A275" s="2"/>
      <c r="B275" s="44"/>
      <c r="C275" s="44"/>
      <c r="D275" s="4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9"/>
    </row>
    <row r="276" customFormat="false" ht="48.75" hidden="false" customHeight="true" outlineLevel="0" collapsed="false">
      <c r="A276" s="2"/>
      <c r="B276" s="44"/>
      <c r="C276" s="44"/>
      <c r="D276" s="4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9"/>
    </row>
    <row r="277" customFormat="false" ht="48.75" hidden="false" customHeight="true" outlineLevel="0" collapsed="false">
      <c r="A277" s="2"/>
      <c r="B277" s="44"/>
      <c r="C277" s="44"/>
      <c r="D277" s="4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9"/>
    </row>
    <row r="278" customFormat="false" ht="48.75" hidden="false" customHeight="true" outlineLevel="0" collapsed="false">
      <c r="A278" s="2"/>
      <c r="B278" s="44"/>
      <c r="C278" s="44"/>
      <c r="D278" s="4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9"/>
    </row>
    <row r="279" customFormat="false" ht="48.75" hidden="false" customHeight="true" outlineLevel="0" collapsed="false">
      <c r="A279" s="2"/>
      <c r="B279" s="44"/>
      <c r="C279" s="44"/>
      <c r="D279" s="4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9"/>
    </row>
    <row r="280" customFormat="false" ht="48.75" hidden="false" customHeight="true" outlineLevel="0" collapsed="false">
      <c r="A280" s="2"/>
      <c r="B280" s="44"/>
      <c r="C280" s="44"/>
      <c r="D280" s="4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9"/>
    </row>
    <row r="281" customFormat="false" ht="48.75" hidden="false" customHeight="true" outlineLevel="0" collapsed="false">
      <c r="A281" s="2"/>
      <c r="B281" s="44"/>
      <c r="C281" s="44"/>
      <c r="D281" s="4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9"/>
    </row>
    <row r="282" customFormat="false" ht="48.75" hidden="false" customHeight="true" outlineLevel="0" collapsed="false">
      <c r="A282" s="2"/>
      <c r="B282" s="44"/>
      <c r="C282" s="44"/>
      <c r="D282" s="4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9"/>
    </row>
    <row r="283" customFormat="false" ht="48.75" hidden="false" customHeight="true" outlineLevel="0" collapsed="false">
      <c r="A283" s="2"/>
      <c r="B283" s="44"/>
      <c r="C283" s="44"/>
      <c r="D283" s="4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9"/>
    </row>
    <row r="284" customFormat="false" ht="48.75" hidden="false" customHeight="true" outlineLevel="0" collapsed="false">
      <c r="A284" s="2"/>
      <c r="B284" s="44"/>
      <c r="C284" s="44"/>
      <c r="D284" s="4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9"/>
    </row>
    <row r="285" customFormat="false" ht="48.75" hidden="false" customHeight="true" outlineLevel="0" collapsed="false">
      <c r="A285" s="2"/>
      <c r="B285" s="44"/>
      <c r="C285" s="44"/>
      <c r="D285" s="4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9"/>
    </row>
    <row r="286" customFormat="false" ht="48.75" hidden="false" customHeight="true" outlineLevel="0" collapsed="false">
      <c r="A286" s="2"/>
      <c r="B286" s="44"/>
      <c r="C286" s="44"/>
      <c r="D286" s="4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9"/>
    </row>
    <row r="287" customFormat="false" ht="48.75" hidden="false" customHeight="true" outlineLevel="0" collapsed="false">
      <c r="A287" s="2"/>
      <c r="B287" s="44"/>
      <c r="C287" s="44"/>
      <c r="D287" s="4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9"/>
    </row>
    <row r="288" customFormat="false" ht="48.75" hidden="false" customHeight="true" outlineLevel="0" collapsed="false">
      <c r="A288" s="2"/>
      <c r="B288" s="44"/>
      <c r="C288" s="44"/>
      <c r="D288" s="4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9"/>
    </row>
    <row r="289" customFormat="false" ht="48.75" hidden="false" customHeight="true" outlineLevel="0" collapsed="false">
      <c r="A289" s="2"/>
      <c r="B289" s="44"/>
      <c r="C289" s="44"/>
      <c r="D289" s="4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9"/>
    </row>
    <row r="290" customFormat="false" ht="48.75" hidden="false" customHeight="true" outlineLevel="0" collapsed="false">
      <c r="A290" s="2"/>
      <c r="B290" s="44"/>
      <c r="C290" s="44"/>
      <c r="D290" s="4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9"/>
    </row>
    <row r="291" customFormat="false" ht="48.75" hidden="false" customHeight="true" outlineLevel="0" collapsed="false">
      <c r="A291" s="2"/>
      <c r="B291" s="44"/>
      <c r="C291" s="44"/>
      <c r="D291" s="4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9"/>
    </row>
    <row r="292" customFormat="false" ht="48.75" hidden="false" customHeight="true" outlineLevel="0" collapsed="false">
      <c r="A292" s="2"/>
      <c r="B292" s="44"/>
      <c r="C292" s="44"/>
      <c r="D292" s="4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9"/>
    </row>
    <row r="293" customFormat="false" ht="48.75" hidden="false" customHeight="true" outlineLevel="0" collapsed="false">
      <c r="A293" s="2"/>
      <c r="B293" s="44"/>
      <c r="C293" s="44"/>
      <c r="D293" s="4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9"/>
    </row>
    <row r="294" customFormat="false" ht="48.75" hidden="false" customHeight="true" outlineLevel="0" collapsed="false">
      <c r="A294" s="2"/>
      <c r="B294" s="44"/>
      <c r="C294" s="44"/>
      <c r="D294" s="4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9"/>
    </row>
    <row r="295" customFormat="false" ht="48.75" hidden="false" customHeight="true" outlineLevel="0" collapsed="false">
      <c r="A295" s="2"/>
      <c r="B295" s="44"/>
      <c r="C295" s="44"/>
      <c r="D295" s="4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9"/>
    </row>
    <row r="296" customFormat="false" ht="48.75" hidden="false" customHeight="true" outlineLevel="0" collapsed="false">
      <c r="A296" s="2"/>
      <c r="B296" s="44"/>
      <c r="C296" s="44"/>
      <c r="D296" s="4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9"/>
    </row>
    <row r="297" customFormat="false" ht="48.75" hidden="false" customHeight="true" outlineLevel="0" collapsed="false">
      <c r="A297" s="2"/>
      <c r="B297" s="44"/>
      <c r="C297" s="44"/>
      <c r="D297" s="4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9"/>
    </row>
    <row r="298" customFormat="false" ht="48.75" hidden="false" customHeight="true" outlineLevel="0" collapsed="false">
      <c r="A298" s="2"/>
      <c r="B298" s="44"/>
      <c r="C298" s="44"/>
      <c r="D298" s="4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9"/>
    </row>
    <row r="299" customFormat="false" ht="48.75" hidden="false" customHeight="true" outlineLevel="0" collapsed="false">
      <c r="A299" s="2"/>
      <c r="B299" s="44"/>
      <c r="C299" s="44"/>
      <c r="D299" s="4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9"/>
    </row>
    <row r="300" customFormat="false" ht="48.75" hidden="false" customHeight="true" outlineLevel="0" collapsed="false">
      <c r="A300" s="2"/>
      <c r="B300" s="44"/>
      <c r="C300" s="44"/>
      <c r="D300" s="4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9"/>
    </row>
    <row r="301" customFormat="false" ht="48.75" hidden="false" customHeight="true" outlineLevel="0" collapsed="false">
      <c r="A301" s="2"/>
      <c r="B301" s="44"/>
      <c r="C301" s="44"/>
      <c r="D301" s="4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9"/>
    </row>
    <row r="302" customFormat="false" ht="48.75" hidden="false" customHeight="true" outlineLevel="0" collapsed="false">
      <c r="A302" s="2"/>
      <c r="B302" s="44"/>
      <c r="C302" s="44"/>
      <c r="D302" s="4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9"/>
    </row>
    <row r="303" customFormat="false" ht="48.75" hidden="false" customHeight="true" outlineLevel="0" collapsed="false">
      <c r="A303" s="2"/>
      <c r="B303" s="44"/>
      <c r="C303" s="44"/>
      <c r="D303" s="4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9"/>
    </row>
    <row r="304" customFormat="false" ht="48.75" hidden="false" customHeight="true" outlineLevel="0" collapsed="false">
      <c r="A304" s="2"/>
      <c r="B304" s="44"/>
      <c r="C304" s="44"/>
      <c r="D304" s="4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9"/>
    </row>
    <row r="305" customFormat="false" ht="48.75" hidden="false" customHeight="true" outlineLevel="0" collapsed="false">
      <c r="A305" s="2"/>
      <c r="B305" s="44"/>
      <c r="C305" s="44"/>
      <c r="D305" s="4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9"/>
    </row>
    <row r="306" customFormat="false" ht="48.75" hidden="false" customHeight="true" outlineLevel="0" collapsed="false">
      <c r="A306" s="2"/>
      <c r="B306" s="44"/>
      <c r="C306" s="44"/>
      <c r="D306" s="4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9"/>
    </row>
    <row r="307" customFormat="false" ht="48.75" hidden="false" customHeight="true" outlineLevel="0" collapsed="false">
      <c r="A307" s="2"/>
      <c r="B307" s="44"/>
      <c r="C307" s="44"/>
      <c r="D307" s="4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9"/>
    </row>
    <row r="308" customFormat="false" ht="48.75" hidden="false" customHeight="true" outlineLevel="0" collapsed="false">
      <c r="A308" s="2"/>
      <c r="B308" s="44"/>
      <c r="C308" s="44"/>
      <c r="D308" s="4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9"/>
    </row>
    <row r="309" customFormat="false" ht="48.75" hidden="false" customHeight="true" outlineLevel="0" collapsed="false">
      <c r="A309" s="2"/>
      <c r="B309" s="44"/>
      <c r="C309" s="44"/>
      <c r="D309" s="4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9"/>
    </row>
    <row r="310" customFormat="false" ht="48.75" hidden="false" customHeight="true" outlineLevel="0" collapsed="false">
      <c r="A310" s="2"/>
      <c r="B310" s="44"/>
      <c r="C310" s="44"/>
      <c r="D310" s="4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9"/>
    </row>
    <row r="311" customFormat="false" ht="48.75" hidden="false" customHeight="true" outlineLevel="0" collapsed="false">
      <c r="A311" s="2"/>
      <c r="B311" s="44"/>
      <c r="C311" s="44"/>
      <c r="D311" s="4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9"/>
    </row>
    <row r="312" customFormat="false" ht="48.75" hidden="false" customHeight="true" outlineLevel="0" collapsed="false">
      <c r="A312" s="2"/>
      <c r="B312" s="44"/>
      <c r="C312" s="44"/>
      <c r="D312" s="4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9"/>
    </row>
    <row r="313" customFormat="false" ht="48.75" hidden="false" customHeight="true" outlineLevel="0" collapsed="false">
      <c r="A313" s="2"/>
      <c r="B313" s="44"/>
      <c r="C313" s="44"/>
      <c r="D313" s="4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9"/>
    </row>
    <row r="314" customFormat="false" ht="48.75" hidden="false" customHeight="true" outlineLevel="0" collapsed="false">
      <c r="A314" s="2"/>
      <c r="B314" s="44"/>
      <c r="C314" s="44"/>
      <c r="D314" s="4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9"/>
    </row>
    <row r="315" customFormat="false" ht="48.75" hidden="false" customHeight="true" outlineLevel="0" collapsed="false">
      <c r="A315" s="2"/>
      <c r="B315" s="44"/>
      <c r="C315" s="44"/>
      <c r="D315" s="4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9"/>
    </row>
    <row r="316" customFormat="false" ht="48.75" hidden="false" customHeight="true" outlineLevel="0" collapsed="false">
      <c r="A316" s="2"/>
      <c r="B316" s="44"/>
      <c r="C316" s="44"/>
      <c r="D316" s="4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9"/>
    </row>
    <row r="317" customFormat="false" ht="48.75" hidden="false" customHeight="true" outlineLevel="0" collapsed="false">
      <c r="A317" s="2"/>
      <c r="B317" s="44"/>
      <c r="C317" s="44"/>
      <c r="D317" s="4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9"/>
    </row>
    <row r="318" customFormat="false" ht="48.75" hidden="false" customHeight="true" outlineLevel="0" collapsed="false">
      <c r="A318" s="2"/>
      <c r="B318" s="44"/>
      <c r="C318" s="44"/>
      <c r="D318" s="4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9"/>
    </row>
    <row r="319" customFormat="false" ht="48.75" hidden="false" customHeight="true" outlineLevel="0" collapsed="false">
      <c r="A319" s="2"/>
      <c r="B319" s="44"/>
      <c r="C319" s="44"/>
      <c r="D319" s="4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9"/>
    </row>
    <row r="320" customFormat="false" ht="48.75" hidden="false" customHeight="true" outlineLevel="0" collapsed="false">
      <c r="A320" s="2"/>
      <c r="B320" s="44"/>
      <c r="C320" s="44"/>
      <c r="D320" s="4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9"/>
    </row>
    <row r="321" customFormat="false" ht="48.75" hidden="false" customHeight="true" outlineLevel="0" collapsed="false">
      <c r="A321" s="2"/>
      <c r="B321" s="44"/>
      <c r="C321" s="44"/>
      <c r="D321" s="4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9"/>
    </row>
    <row r="322" customFormat="false" ht="48.75" hidden="false" customHeight="true" outlineLevel="0" collapsed="false">
      <c r="A322" s="2"/>
      <c r="B322" s="44"/>
      <c r="C322" s="44"/>
      <c r="D322" s="4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9"/>
    </row>
    <row r="323" customFormat="false" ht="48.75" hidden="false" customHeight="true" outlineLevel="0" collapsed="false">
      <c r="A323" s="2"/>
      <c r="B323" s="44"/>
      <c r="C323" s="44"/>
      <c r="D323" s="4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9"/>
    </row>
    <row r="324" customFormat="false" ht="48.75" hidden="false" customHeight="true" outlineLevel="0" collapsed="false">
      <c r="A324" s="2"/>
      <c r="B324" s="44"/>
      <c r="C324" s="44"/>
      <c r="D324" s="4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9"/>
    </row>
    <row r="325" customFormat="false" ht="48.75" hidden="false" customHeight="true" outlineLevel="0" collapsed="false">
      <c r="A325" s="2"/>
      <c r="B325" s="44"/>
      <c r="C325" s="44"/>
      <c r="D325" s="4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9"/>
    </row>
    <row r="326" customFormat="false" ht="48.75" hidden="false" customHeight="true" outlineLevel="0" collapsed="false">
      <c r="A326" s="2"/>
      <c r="B326" s="44"/>
      <c r="C326" s="44"/>
      <c r="D326" s="4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9"/>
    </row>
    <row r="327" customFormat="false" ht="48.75" hidden="false" customHeight="true" outlineLevel="0" collapsed="false">
      <c r="A327" s="2"/>
      <c r="B327" s="44"/>
      <c r="C327" s="44"/>
      <c r="D327" s="4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9"/>
    </row>
    <row r="328" customFormat="false" ht="48.75" hidden="false" customHeight="true" outlineLevel="0" collapsed="false">
      <c r="A328" s="2"/>
      <c r="B328" s="44"/>
      <c r="C328" s="44"/>
      <c r="D328" s="4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9"/>
    </row>
    <row r="329" customFormat="false" ht="48.75" hidden="false" customHeight="true" outlineLevel="0" collapsed="false">
      <c r="A329" s="2"/>
      <c r="B329" s="44"/>
      <c r="C329" s="44"/>
      <c r="D329" s="4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9"/>
    </row>
    <row r="330" customFormat="false" ht="48.75" hidden="false" customHeight="true" outlineLevel="0" collapsed="false">
      <c r="A330" s="2"/>
      <c r="B330" s="44"/>
      <c r="C330" s="44"/>
      <c r="D330" s="4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9"/>
    </row>
    <row r="331" customFormat="false" ht="48.75" hidden="false" customHeight="true" outlineLevel="0" collapsed="false">
      <c r="A331" s="2"/>
      <c r="B331" s="44"/>
      <c r="C331" s="44"/>
      <c r="D331" s="4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9"/>
    </row>
    <row r="332" customFormat="false" ht="48.75" hidden="false" customHeight="true" outlineLevel="0" collapsed="false">
      <c r="A332" s="2"/>
      <c r="B332" s="44"/>
      <c r="C332" s="44"/>
      <c r="D332" s="4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9"/>
    </row>
    <row r="333" customFormat="false" ht="48.75" hidden="false" customHeight="true" outlineLevel="0" collapsed="false">
      <c r="A333" s="2"/>
      <c r="B333" s="44"/>
      <c r="C333" s="44"/>
      <c r="D333" s="4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9"/>
    </row>
    <row r="334" customFormat="false" ht="48.75" hidden="false" customHeight="true" outlineLevel="0" collapsed="false">
      <c r="A334" s="2"/>
      <c r="B334" s="44"/>
      <c r="C334" s="44"/>
      <c r="D334" s="4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9"/>
    </row>
    <row r="335" customFormat="false" ht="48.75" hidden="false" customHeight="true" outlineLevel="0" collapsed="false">
      <c r="A335" s="2"/>
      <c r="B335" s="44"/>
      <c r="C335" s="44"/>
      <c r="D335" s="4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9"/>
    </row>
    <row r="336" customFormat="false" ht="48.75" hidden="false" customHeight="true" outlineLevel="0" collapsed="false">
      <c r="A336" s="2"/>
      <c r="B336" s="44"/>
      <c r="C336" s="44"/>
      <c r="D336" s="4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9"/>
    </row>
    <row r="337" customFormat="false" ht="48.75" hidden="false" customHeight="true" outlineLevel="0" collapsed="false">
      <c r="A337" s="2"/>
      <c r="B337" s="44"/>
      <c r="C337" s="44"/>
      <c r="D337" s="4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9"/>
    </row>
    <row r="338" customFormat="false" ht="48.75" hidden="false" customHeight="true" outlineLevel="0" collapsed="false">
      <c r="A338" s="2"/>
      <c r="B338" s="44"/>
      <c r="C338" s="44"/>
      <c r="D338" s="4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9"/>
    </row>
    <row r="339" customFormat="false" ht="48.75" hidden="false" customHeight="true" outlineLevel="0" collapsed="false">
      <c r="A339" s="2"/>
      <c r="B339" s="44"/>
      <c r="C339" s="44"/>
      <c r="D339" s="4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9"/>
    </row>
    <row r="340" customFormat="false" ht="48.75" hidden="false" customHeight="true" outlineLevel="0" collapsed="false">
      <c r="A340" s="2"/>
      <c r="B340" s="44"/>
      <c r="C340" s="44"/>
      <c r="D340" s="4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9"/>
    </row>
    <row r="341" customFormat="false" ht="48.75" hidden="false" customHeight="true" outlineLevel="0" collapsed="false">
      <c r="A341" s="2"/>
      <c r="B341" s="44"/>
      <c r="C341" s="44"/>
      <c r="D341" s="4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9"/>
    </row>
    <row r="342" customFormat="false" ht="48.75" hidden="false" customHeight="true" outlineLevel="0" collapsed="false">
      <c r="A342" s="2"/>
      <c r="B342" s="44"/>
      <c r="C342" s="44"/>
      <c r="D342" s="4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9"/>
    </row>
    <row r="343" customFormat="false" ht="48.75" hidden="false" customHeight="true" outlineLevel="0" collapsed="false">
      <c r="A343" s="2"/>
      <c r="B343" s="44"/>
      <c r="C343" s="44"/>
      <c r="D343" s="4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9"/>
    </row>
    <row r="344" customFormat="false" ht="48.75" hidden="false" customHeight="true" outlineLevel="0" collapsed="false">
      <c r="A344" s="2"/>
      <c r="B344" s="44"/>
      <c r="C344" s="44"/>
      <c r="D344" s="4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9"/>
    </row>
    <row r="345" customFormat="false" ht="48.75" hidden="false" customHeight="true" outlineLevel="0" collapsed="false">
      <c r="A345" s="2"/>
      <c r="B345" s="44"/>
      <c r="C345" s="44"/>
      <c r="D345" s="4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9"/>
    </row>
    <row r="346" customFormat="false" ht="48.75" hidden="false" customHeight="true" outlineLevel="0" collapsed="false">
      <c r="A346" s="2"/>
      <c r="B346" s="44"/>
      <c r="C346" s="44"/>
      <c r="D346" s="4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9"/>
    </row>
    <row r="347" customFormat="false" ht="48.75" hidden="false" customHeight="true" outlineLevel="0" collapsed="false">
      <c r="A347" s="2"/>
      <c r="B347" s="44"/>
      <c r="C347" s="44"/>
      <c r="D347" s="4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9"/>
    </row>
    <row r="348" customFormat="false" ht="48.75" hidden="false" customHeight="true" outlineLevel="0" collapsed="false">
      <c r="A348" s="2"/>
      <c r="B348" s="44"/>
      <c r="C348" s="44"/>
      <c r="D348" s="4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9"/>
    </row>
    <row r="349" customFormat="false" ht="48.75" hidden="false" customHeight="true" outlineLevel="0" collapsed="false">
      <c r="A349" s="2"/>
      <c r="B349" s="44"/>
      <c r="C349" s="44"/>
      <c r="D349" s="4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9"/>
    </row>
    <row r="350" customFormat="false" ht="48.75" hidden="false" customHeight="true" outlineLevel="0" collapsed="false">
      <c r="A350" s="2"/>
      <c r="B350" s="44"/>
      <c r="C350" s="44"/>
      <c r="D350" s="4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9"/>
    </row>
    <row r="351" customFormat="false" ht="48.75" hidden="false" customHeight="true" outlineLevel="0" collapsed="false">
      <c r="A351" s="2"/>
      <c r="B351" s="44"/>
      <c r="C351" s="44"/>
      <c r="D351" s="4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9"/>
    </row>
    <row r="352" customFormat="false" ht="48.75" hidden="false" customHeight="true" outlineLevel="0" collapsed="false">
      <c r="A352" s="2"/>
      <c r="B352" s="44"/>
      <c r="C352" s="44"/>
      <c r="D352" s="4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9"/>
    </row>
    <row r="353" customFormat="false" ht="48.75" hidden="false" customHeight="true" outlineLevel="0" collapsed="false">
      <c r="A353" s="2"/>
      <c r="B353" s="44"/>
      <c r="C353" s="44"/>
      <c r="D353" s="4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9"/>
    </row>
    <row r="354" customFormat="false" ht="48.75" hidden="false" customHeight="true" outlineLevel="0" collapsed="false">
      <c r="A354" s="2"/>
      <c r="B354" s="44"/>
      <c r="C354" s="44"/>
      <c r="D354" s="4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9"/>
    </row>
    <row r="355" customFormat="false" ht="48.75" hidden="false" customHeight="true" outlineLevel="0" collapsed="false">
      <c r="A355" s="2"/>
      <c r="B355" s="44"/>
      <c r="C355" s="44"/>
      <c r="D355" s="4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9"/>
    </row>
    <row r="356" customFormat="false" ht="48.75" hidden="false" customHeight="true" outlineLevel="0" collapsed="false">
      <c r="A356" s="2"/>
      <c r="B356" s="44"/>
      <c r="C356" s="44"/>
      <c r="D356" s="4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9"/>
    </row>
    <row r="357" customFormat="false" ht="48.75" hidden="false" customHeight="true" outlineLevel="0" collapsed="false">
      <c r="A357" s="2"/>
      <c r="B357" s="44"/>
      <c r="C357" s="44"/>
      <c r="D357" s="4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9"/>
    </row>
    <row r="358" customFormat="false" ht="48.75" hidden="false" customHeight="true" outlineLevel="0" collapsed="false">
      <c r="A358" s="2"/>
      <c r="B358" s="44"/>
      <c r="C358" s="44"/>
      <c r="D358" s="4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9"/>
    </row>
    <row r="359" customFormat="false" ht="48.75" hidden="false" customHeight="true" outlineLevel="0" collapsed="false">
      <c r="A359" s="2"/>
      <c r="B359" s="44"/>
      <c r="C359" s="44"/>
      <c r="D359" s="4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9"/>
    </row>
    <row r="360" customFormat="false" ht="48.75" hidden="false" customHeight="true" outlineLevel="0" collapsed="false">
      <c r="A360" s="2"/>
      <c r="B360" s="44"/>
      <c r="C360" s="44"/>
      <c r="D360" s="4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9"/>
    </row>
    <row r="361" customFormat="false" ht="48.75" hidden="false" customHeight="true" outlineLevel="0" collapsed="false">
      <c r="A361" s="2"/>
      <c r="B361" s="44"/>
      <c r="C361" s="44"/>
      <c r="D361" s="4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9"/>
    </row>
    <row r="362" customFormat="false" ht="48.75" hidden="false" customHeight="true" outlineLevel="0" collapsed="false">
      <c r="A362" s="2"/>
      <c r="B362" s="44"/>
      <c r="C362" s="44"/>
      <c r="D362" s="4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9"/>
    </row>
    <row r="363" customFormat="false" ht="48.75" hidden="false" customHeight="true" outlineLevel="0" collapsed="false">
      <c r="A363" s="2"/>
      <c r="B363" s="44"/>
      <c r="C363" s="44"/>
      <c r="D363" s="4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9"/>
    </row>
    <row r="364" customFormat="false" ht="48.75" hidden="false" customHeight="true" outlineLevel="0" collapsed="false">
      <c r="A364" s="2"/>
      <c r="B364" s="44"/>
      <c r="C364" s="44"/>
      <c r="D364" s="4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9"/>
    </row>
    <row r="365" customFormat="false" ht="48.75" hidden="false" customHeight="true" outlineLevel="0" collapsed="false">
      <c r="A365" s="2"/>
      <c r="B365" s="44"/>
      <c r="C365" s="44"/>
      <c r="D365" s="4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9"/>
    </row>
    <row r="366" customFormat="false" ht="48.75" hidden="false" customHeight="true" outlineLevel="0" collapsed="false">
      <c r="A366" s="2"/>
      <c r="B366" s="44"/>
      <c r="C366" s="44"/>
      <c r="D366" s="4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9"/>
    </row>
    <row r="367" customFormat="false" ht="48.75" hidden="false" customHeight="true" outlineLevel="0" collapsed="false">
      <c r="A367" s="2"/>
      <c r="B367" s="44"/>
      <c r="C367" s="44"/>
      <c r="D367" s="4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9"/>
    </row>
    <row r="368" customFormat="false" ht="48.75" hidden="false" customHeight="true" outlineLevel="0" collapsed="false">
      <c r="A368" s="2"/>
      <c r="B368" s="44"/>
      <c r="C368" s="44"/>
      <c r="D368" s="4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9"/>
    </row>
    <row r="369" customFormat="false" ht="48.75" hidden="false" customHeight="true" outlineLevel="0" collapsed="false">
      <c r="A369" s="2"/>
      <c r="B369" s="44"/>
      <c r="C369" s="44"/>
      <c r="D369" s="4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9"/>
    </row>
    <row r="370" customFormat="false" ht="48.75" hidden="false" customHeight="true" outlineLevel="0" collapsed="false">
      <c r="A370" s="2"/>
      <c r="B370" s="44"/>
      <c r="C370" s="44"/>
      <c r="D370" s="4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9"/>
    </row>
    <row r="371" customFormat="false" ht="48.75" hidden="false" customHeight="true" outlineLevel="0" collapsed="false">
      <c r="A371" s="2"/>
      <c r="B371" s="44"/>
      <c r="C371" s="44"/>
      <c r="D371" s="4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9"/>
    </row>
    <row r="372" customFormat="false" ht="48.75" hidden="false" customHeight="true" outlineLevel="0" collapsed="false">
      <c r="A372" s="2"/>
      <c r="B372" s="44"/>
      <c r="C372" s="44"/>
      <c r="D372" s="4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9"/>
    </row>
    <row r="373" customFormat="false" ht="48.75" hidden="false" customHeight="true" outlineLevel="0" collapsed="false">
      <c r="A373" s="2"/>
      <c r="B373" s="44"/>
      <c r="C373" s="44"/>
      <c r="D373" s="4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9"/>
    </row>
    <row r="374" customFormat="false" ht="48.75" hidden="false" customHeight="true" outlineLevel="0" collapsed="false">
      <c r="A374" s="2"/>
      <c r="B374" s="44"/>
      <c r="C374" s="44"/>
      <c r="D374" s="4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9"/>
    </row>
    <row r="375" customFormat="false" ht="48.75" hidden="false" customHeight="true" outlineLevel="0" collapsed="false">
      <c r="A375" s="2"/>
      <c r="B375" s="44"/>
      <c r="C375" s="44"/>
      <c r="D375" s="4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9"/>
    </row>
    <row r="376" customFormat="false" ht="48.75" hidden="false" customHeight="true" outlineLevel="0" collapsed="false">
      <c r="A376" s="2"/>
      <c r="B376" s="44"/>
      <c r="C376" s="44"/>
      <c r="D376" s="4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9"/>
    </row>
    <row r="377" customFormat="false" ht="48.75" hidden="false" customHeight="true" outlineLevel="0" collapsed="false">
      <c r="A377" s="2"/>
      <c r="B377" s="44"/>
      <c r="C377" s="44"/>
      <c r="D377" s="4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9"/>
    </row>
    <row r="378" customFormat="false" ht="48.75" hidden="false" customHeight="true" outlineLevel="0" collapsed="false">
      <c r="A378" s="2"/>
      <c r="B378" s="44"/>
      <c r="C378" s="44"/>
      <c r="D378" s="4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9"/>
    </row>
    <row r="379" customFormat="false" ht="48.75" hidden="false" customHeight="true" outlineLevel="0" collapsed="false">
      <c r="A379" s="2"/>
      <c r="B379" s="44"/>
      <c r="C379" s="44"/>
      <c r="D379" s="4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9"/>
    </row>
    <row r="380" customFormat="false" ht="48.75" hidden="false" customHeight="true" outlineLevel="0" collapsed="false">
      <c r="A380" s="2"/>
      <c r="B380" s="44"/>
      <c r="C380" s="44"/>
      <c r="D380" s="4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9"/>
    </row>
    <row r="381" customFormat="false" ht="48.75" hidden="false" customHeight="true" outlineLevel="0" collapsed="false">
      <c r="A381" s="2"/>
      <c r="B381" s="44"/>
      <c r="C381" s="44"/>
      <c r="D381" s="4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9"/>
    </row>
    <row r="382" customFormat="false" ht="48.75" hidden="false" customHeight="true" outlineLevel="0" collapsed="false">
      <c r="A382" s="2"/>
      <c r="B382" s="44"/>
      <c r="C382" s="44"/>
      <c r="D382" s="4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9"/>
    </row>
    <row r="383" customFormat="false" ht="48.75" hidden="false" customHeight="true" outlineLevel="0" collapsed="false">
      <c r="A383" s="2"/>
      <c r="B383" s="44"/>
      <c r="C383" s="44"/>
      <c r="D383" s="4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9"/>
    </row>
    <row r="384" customFormat="false" ht="48.75" hidden="false" customHeight="true" outlineLevel="0" collapsed="false">
      <c r="A384" s="2"/>
      <c r="B384" s="44"/>
      <c r="C384" s="44"/>
      <c r="D384" s="4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9"/>
    </row>
    <row r="385" customFormat="false" ht="48.75" hidden="false" customHeight="true" outlineLevel="0" collapsed="false">
      <c r="A385" s="2"/>
      <c r="B385" s="44"/>
      <c r="C385" s="44"/>
      <c r="D385" s="4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9"/>
    </row>
    <row r="386" customFormat="false" ht="48.75" hidden="false" customHeight="true" outlineLevel="0" collapsed="false">
      <c r="A386" s="2"/>
      <c r="B386" s="44"/>
      <c r="C386" s="44"/>
      <c r="D386" s="4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9"/>
    </row>
    <row r="387" customFormat="false" ht="48.75" hidden="false" customHeight="true" outlineLevel="0" collapsed="false">
      <c r="A387" s="2"/>
      <c r="B387" s="44"/>
      <c r="C387" s="44"/>
      <c r="D387" s="4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9"/>
    </row>
    <row r="388" customFormat="false" ht="48.75" hidden="false" customHeight="true" outlineLevel="0" collapsed="false">
      <c r="A388" s="2"/>
      <c r="B388" s="44"/>
      <c r="C388" s="44"/>
      <c r="D388" s="4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9"/>
    </row>
    <row r="389" customFormat="false" ht="48.75" hidden="false" customHeight="true" outlineLevel="0" collapsed="false">
      <c r="A389" s="2"/>
      <c r="B389" s="44"/>
      <c r="C389" s="44"/>
      <c r="D389" s="4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9"/>
    </row>
    <row r="390" customFormat="false" ht="48.75" hidden="false" customHeight="true" outlineLevel="0" collapsed="false">
      <c r="A390" s="2"/>
      <c r="B390" s="44"/>
      <c r="C390" s="44"/>
      <c r="D390" s="4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9"/>
    </row>
    <row r="391" customFormat="false" ht="48.75" hidden="false" customHeight="true" outlineLevel="0" collapsed="false">
      <c r="A391" s="2"/>
      <c r="B391" s="44"/>
      <c r="C391" s="44"/>
      <c r="D391" s="4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9"/>
    </row>
    <row r="392" customFormat="false" ht="48.75" hidden="false" customHeight="true" outlineLevel="0" collapsed="false">
      <c r="A392" s="2"/>
      <c r="B392" s="44"/>
      <c r="C392" s="44"/>
      <c r="D392" s="4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9"/>
    </row>
    <row r="393" customFormat="false" ht="48.75" hidden="false" customHeight="true" outlineLevel="0" collapsed="false">
      <c r="A393" s="2"/>
      <c r="B393" s="44"/>
      <c r="C393" s="44"/>
      <c r="D393" s="4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9"/>
    </row>
    <row r="394" customFormat="false" ht="48.75" hidden="false" customHeight="true" outlineLevel="0" collapsed="false">
      <c r="A394" s="2"/>
      <c r="B394" s="44"/>
      <c r="C394" s="44"/>
      <c r="D394" s="4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9"/>
    </row>
    <row r="395" customFormat="false" ht="48.75" hidden="false" customHeight="true" outlineLevel="0" collapsed="false">
      <c r="A395" s="2"/>
      <c r="B395" s="44"/>
      <c r="C395" s="44"/>
      <c r="D395" s="4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9"/>
    </row>
    <row r="396" customFormat="false" ht="48.75" hidden="false" customHeight="true" outlineLevel="0" collapsed="false">
      <c r="A396" s="2"/>
      <c r="B396" s="44"/>
      <c r="C396" s="44"/>
      <c r="D396" s="4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9"/>
    </row>
    <row r="397" customFormat="false" ht="48.75" hidden="false" customHeight="true" outlineLevel="0" collapsed="false">
      <c r="A397" s="2"/>
      <c r="B397" s="44"/>
      <c r="C397" s="44"/>
      <c r="D397" s="4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9"/>
    </row>
    <row r="398" customFormat="false" ht="48.75" hidden="false" customHeight="true" outlineLevel="0" collapsed="false">
      <c r="A398" s="2"/>
      <c r="B398" s="44"/>
      <c r="C398" s="44"/>
      <c r="D398" s="4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9"/>
    </row>
    <row r="399" customFormat="false" ht="48.75" hidden="false" customHeight="true" outlineLevel="0" collapsed="false">
      <c r="A399" s="2"/>
      <c r="B399" s="44"/>
      <c r="C399" s="44"/>
      <c r="D399" s="4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9"/>
    </row>
    <row r="400" customFormat="false" ht="48.75" hidden="false" customHeight="true" outlineLevel="0" collapsed="false">
      <c r="A400" s="2"/>
      <c r="B400" s="44"/>
      <c r="C400" s="44"/>
      <c r="D400" s="4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9"/>
    </row>
    <row r="401" customFormat="false" ht="48.75" hidden="false" customHeight="true" outlineLevel="0" collapsed="false">
      <c r="A401" s="2"/>
      <c r="B401" s="44"/>
      <c r="C401" s="44"/>
      <c r="D401" s="4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9"/>
    </row>
    <row r="402" customFormat="false" ht="48.75" hidden="false" customHeight="true" outlineLevel="0" collapsed="false">
      <c r="A402" s="2"/>
      <c r="B402" s="44"/>
      <c r="C402" s="44"/>
      <c r="D402" s="4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9"/>
    </row>
    <row r="403" customFormat="false" ht="48.75" hidden="false" customHeight="true" outlineLevel="0" collapsed="false">
      <c r="A403" s="2"/>
      <c r="B403" s="44"/>
      <c r="C403" s="44"/>
      <c r="D403" s="4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9"/>
    </row>
    <row r="404" customFormat="false" ht="48.75" hidden="false" customHeight="true" outlineLevel="0" collapsed="false">
      <c r="A404" s="2"/>
      <c r="B404" s="44"/>
      <c r="C404" s="44"/>
      <c r="D404" s="4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9"/>
    </row>
    <row r="405" customFormat="false" ht="48.75" hidden="false" customHeight="true" outlineLevel="0" collapsed="false">
      <c r="A405" s="2"/>
      <c r="B405" s="44"/>
      <c r="C405" s="44"/>
      <c r="D405" s="4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9"/>
    </row>
    <row r="406" customFormat="false" ht="48.75" hidden="false" customHeight="true" outlineLevel="0" collapsed="false">
      <c r="A406" s="2"/>
      <c r="B406" s="44"/>
      <c r="C406" s="44"/>
      <c r="D406" s="4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9"/>
    </row>
    <row r="407" customFormat="false" ht="48.75" hidden="false" customHeight="true" outlineLevel="0" collapsed="false">
      <c r="A407" s="2"/>
      <c r="B407" s="44"/>
      <c r="C407" s="44"/>
      <c r="D407" s="4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9"/>
    </row>
    <row r="408" customFormat="false" ht="48.75" hidden="false" customHeight="true" outlineLevel="0" collapsed="false">
      <c r="A408" s="2"/>
      <c r="B408" s="44"/>
      <c r="C408" s="44"/>
      <c r="D408" s="4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9"/>
    </row>
    <row r="409" customFormat="false" ht="48.75" hidden="false" customHeight="true" outlineLevel="0" collapsed="false">
      <c r="A409" s="2"/>
      <c r="B409" s="44"/>
      <c r="C409" s="44"/>
      <c r="D409" s="4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9"/>
    </row>
    <row r="410" customFormat="false" ht="48.75" hidden="false" customHeight="true" outlineLevel="0" collapsed="false">
      <c r="A410" s="2"/>
      <c r="B410" s="44"/>
      <c r="C410" s="44"/>
      <c r="D410" s="4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9"/>
    </row>
    <row r="411" customFormat="false" ht="48.75" hidden="false" customHeight="true" outlineLevel="0" collapsed="false">
      <c r="A411" s="2"/>
      <c r="B411" s="44"/>
      <c r="C411" s="44"/>
      <c r="D411" s="4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9"/>
    </row>
    <row r="412" customFormat="false" ht="48.75" hidden="false" customHeight="true" outlineLevel="0" collapsed="false">
      <c r="A412" s="2"/>
      <c r="B412" s="44"/>
      <c r="C412" s="44"/>
      <c r="D412" s="4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9"/>
    </row>
    <row r="413" customFormat="false" ht="48.75" hidden="false" customHeight="true" outlineLevel="0" collapsed="false">
      <c r="A413" s="2"/>
      <c r="B413" s="44"/>
      <c r="C413" s="44"/>
      <c r="D413" s="4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9"/>
    </row>
    <row r="414" customFormat="false" ht="48.75" hidden="false" customHeight="true" outlineLevel="0" collapsed="false">
      <c r="A414" s="2"/>
      <c r="B414" s="44"/>
      <c r="C414" s="44"/>
      <c r="D414" s="4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9"/>
    </row>
    <row r="415" customFormat="false" ht="48.75" hidden="false" customHeight="true" outlineLevel="0" collapsed="false">
      <c r="A415" s="2"/>
      <c r="B415" s="44"/>
      <c r="C415" s="44"/>
      <c r="D415" s="4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9"/>
    </row>
    <row r="416" customFormat="false" ht="48.75" hidden="false" customHeight="true" outlineLevel="0" collapsed="false">
      <c r="A416" s="2"/>
      <c r="B416" s="44"/>
      <c r="C416" s="44"/>
      <c r="D416" s="4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9"/>
    </row>
    <row r="417" customFormat="false" ht="48.75" hidden="false" customHeight="true" outlineLevel="0" collapsed="false">
      <c r="A417" s="2"/>
      <c r="B417" s="44"/>
      <c r="C417" s="44"/>
      <c r="D417" s="4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9"/>
    </row>
    <row r="418" customFormat="false" ht="48.75" hidden="false" customHeight="true" outlineLevel="0" collapsed="false">
      <c r="A418" s="2"/>
      <c r="B418" s="44"/>
      <c r="C418" s="44"/>
      <c r="D418" s="4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9"/>
    </row>
    <row r="419" customFormat="false" ht="48.75" hidden="false" customHeight="true" outlineLevel="0" collapsed="false">
      <c r="A419" s="2"/>
      <c r="B419" s="44"/>
      <c r="C419" s="44"/>
      <c r="D419" s="4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9"/>
    </row>
    <row r="420" customFormat="false" ht="48.75" hidden="false" customHeight="true" outlineLevel="0" collapsed="false">
      <c r="A420" s="2"/>
      <c r="B420" s="44"/>
      <c r="C420" s="44"/>
      <c r="D420" s="4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9"/>
    </row>
    <row r="421" customFormat="false" ht="48.75" hidden="false" customHeight="true" outlineLevel="0" collapsed="false">
      <c r="A421" s="2"/>
      <c r="B421" s="44"/>
      <c r="C421" s="44"/>
      <c r="D421" s="4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9"/>
    </row>
    <row r="422" customFormat="false" ht="48.75" hidden="false" customHeight="true" outlineLevel="0" collapsed="false">
      <c r="A422" s="2"/>
      <c r="B422" s="44"/>
      <c r="C422" s="44"/>
      <c r="D422" s="4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9"/>
    </row>
    <row r="423" customFormat="false" ht="48.75" hidden="false" customHeight="true" outlineLevel="0" collapsed="false">
      <c r="A423" s="2"/>
      <c r="B423" s="44"/>
      <c r="C423" s="44"/>
      <c r="D423" s="4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9"/>
    </row>
    <row r="424" customFormat="false" ht="48.75" hidden="false" customHeight="true" outlineLevel="0" collapsed="false">
      <c r="A424" s="2"/>
      <c r="B424" s="44"/>
      <c r="C424" s="44"/>
      <c r="D424" s="4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9"/>
    </row>
    <row r="425" customFormat="false" ht="48.75" hidden="false" customHeight="true" outlineLevel="0" collapsed="false">
      <c r="A425" s="2"/>
      <c r="B425" s="44"/>
      <c r="C425" s="44"/>
      <c r="D425" s="4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9"/>
    </row>
    <row r="426" customFormat="false" ht="48.75" hidden="false" customHeight="true" outlineLevel="0" collapsed="false">
      <c r="A426" s="2"/>
      <c r="B426" s="44"/>
      <c r="C426" s="44"/>
      <c r="D426" s="4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9"/>
    </row>
    <row r="427" customFormat="false" ht="48.75" hidden="false" customHeight="true" outlineLevel="0" collapsed="false">
      <c r="A427" s="2"/>
      <c r="B427" s="44"/>
      <c r="C427" s="44"/>
      <c r="D427" s="4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9"/>
    </row>
    <row r="428" customFormat="false" ht="48.75" hidden="false" customHeight="true" outlineLevel="0" collapsed="false">
      <c r="A428" s="2"/>
      <c r="B428" s="44"/>
      <c r="C428" s="44"/>
      <c r="D428" s="4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9"/>
    </row>
    <row r="429" customFormat="false" ht="48.75" hidden="false" customHeight="true" outlineLevel="0" collapsed="false">
      <c r="A429" s="2"/>
      <c r="B429" s="44"/>
      <c r="C429" s="44"/>
      <c r="D429" s="4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9"/>
    </row>
    <row r="430" customFormat="false" ht="48.75" hidden="false" customHeight="true" outlineLevel="0" collapsed="false">
      <c r="A430" s="2"/>
      <c r="B430" s="44"/>
      <c r="C430" s="44"/>
      <c r="D430" s="4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9"/>
    </row>
    <row r="431" customFormat="false" ht="48.75" hidden="false" customHeight="true" outlineLevel="0" collapsed="false">
      <c r="A431" s="2"/>
      <c r="B431" s="44"/>
      <c r="C431" s="44"/>
      <c r="D431" s="4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9"/>
    </row>
    <row r="432" customFormat="false" ht="48.75" hidden="false" customHeight="true" outlineLevel="0" collapsed="false">
      <c r="A432" s="2"/>
      <c r="B432" s="44"/>
      <c r="C432" s="44"/>
      <c r="D432" s="4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9"/>
    </row>
    <row r="433" customFormat="false" ht="48.75" hidden="false" customHeight="true" outlineLevel="0" collapsed="false">
      <c r="A433" s="2"/>
      <c r="B433" s="44"/>
      <c r="C433" s="44"/>
      <c r="D433" s="4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9"/>
    </row>
    <row r="434" customFormat="false" ht="48.75" hidden="false" customHeight="true" outlineLevel="0" collapsed="false">
      <c r="A434" s="2"/>
      <c r="B434" s="44"/>
      <c r="C434" s="44"/>
      <c r="D434" s="4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9"/>
    </row>
    <row r="435" customFormat="false" ht="48.75" hidden="false" customHeight="true" outlineLevel="0" collapsed="false">
      <c r="A435" s="2"/>
      <c r="B435" s="44"/>
      <c r="C435" s="44"/>
      <c r="D435" s="4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9"/>
    </row>
    <row r="436" customFormat="false" ht="48.75" hidden="false" customHeight="true" outlineLevel="0" collapsed="false">
      <c r="A436" s="2"/>
      <c r="B436" s="44"/>
      <c r="C436" s="44"/>
      <c r="D436" s="4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9"/>
    </row>
    <row r="437" customFormat="false" ht="48.75" hidden="false" customHeight="true" outlineLevel="0" collapsed="false">
      <c r="A437" s="2"/>
      <c r="B437" s="44"/>
      <c r="C437" s="44"/>
      <c r="D437" s="4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9"/>
    </row>
    <row r="438" customFormat="false" ht="48.75" hidden="false" customHeight="true" outlineLevel="0" collapsed="false">
      <c r="A438" s="2"/>
      <c r="B438" s="44"/>
      <c r="C438" s="44"/>
      <c r="D438" s="4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9"/>
    </row>
    <row r="439" customFormat="false" ht="48.75" hidden="false" customHeight="true" outlineLevel="0" collapsed="false">
      <c r="A439" s="2"/>
      <c r="B439" s="44"/>
      <c r="C439" s="44"/>
      <c r="D439" s="4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9"/>
    </row>
    <row r="440" customFormat="false" ht="48.75" hidden="false" customHeight="true" outlineLevel="0" collapsed="false">
      <c r="A440" s="2"/>
      <c r="B440" s="44"/>
      <c r="C440" s="44"/>
      <c r="D440" s="4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9"/>
    </row>
    <row r="441" customFormat="false" ht="48.75" hidden="false" customHeight="true" outlineLevel="0" collapsed="false">
      <c r="A441" s="2"/>
      <c r="B441" s="44"/>
      <c r="C441" s="44"/>
      <c r="D441" s="4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9"/>
    </row>
    <row r="442" customFormat="false" ht="48.75" hidden="false" customHeight="true" outlineLevel="0" collapsed="false">
      <c r="A442" s="2"/>
      <c r="B442" s="44"/>
      <c r="C442" s="44"/>
      <c r="D442" s="4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9"/>
    </row>
    <row r="443" customFormat="false" ht="48.75" hidden="false" customHeight="true" outlineLevel="0" collapsed="false">
      <c r="A443" s="2"/>
      <c r="B443" s="44"/>
      <c r="C443" s="44"/>
      <c r="D443" s="4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9"/>
    </row>
    <row r="444" customFormat="false" ht="48.75" hidden="false" customHeight="true" outlineLevel="0" collapsed="false">
      <c r="A444" s="2"/>
      <c r="B444" s="44"/>
      <c r="C444" s="44"/>
      <c r="D444" s="4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9"/>
    </row>
    <row r="445" customFormat="false" ht="48.75" hidden="false" customHeight="true" outlineLevel="0" collapsed="false">
      <c r="A445" s="2"/>
      <c r="B445" s="44"/>
      <c r="C445" s="44"/>
      <c r="D445" s="4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9"/>
    </row>
    <row r="446" customFormat="false" ht="48.75" hidden="false" customHeight="true" outlineLevel="0" collapsed="false">
      <c r="A446" s="2"/>
      <c r="B446" s="44"/>
      <c r="C446" s="44"/>
      <c r="D446" s="4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9"/>
    </row>
    <row r="447" customFormat="false" ht="48.75" hidden="false" customHeight="true" outlineLevel="0" collapsed="false">
      <c r="A447" s="2"/>
      <c r="B447" s="44"/>
      <c r="C447" s="44"/>
      <c r="D447" s="4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9"/>
    </row>
    <row r="448" customFormat="false" ht="48.75" hidden="false" customHeight="true" outlineLevel="0" collapsed="false">
      <c r="A448" s="2"/>
      <c r="B448" s="44"/>
      <c r="C448" s="44"/>
      <c r="D448" s="4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9"/>
    </row>
    <row r="449" customFormat="false" ht="48.75" hidden="false" customHeight="true" outlineLevel="0" collapsed="false">
      <c r="A449" s="2"/>
      <c r="B449" s="44"/>
      <c r="C449" s="44"/>
      <c r="D449" s="4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9"/>
    </row>
    <row r="450" customFormat="false" ht="48.75" hidden="false" customHeight="true" outlineLevel="0" collapsed="false">
      <c r="A450" s="2"/>
      <c r="B450" s="44"/>
      <c r="C450" s="44"/>
      <c r="D450" s="4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9"/>
    </row>
    <row r="451" customFormat="false" ht="48.75" hidden="false" customHeight="true" outlineLevel="0" collapsed="false">
      <c r="A451" s="2"/>
      <c r="B451" s="44"/>
      <c r="C451" s="44"/>
      <c r="D451" s="4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9"/>
    </row>
    <row r="452" customFormat="false" ht="48.75" hidden="false" customHeight="true" outlineLevel="0" collapsed="false">
      <c r="A452" s="2"/>
      <c r="B452" s="44"/>
      <c r="C452" s="44"/>
      <c r="D452" s="4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9"/>
    </row>
    <row r="453" customFormat="false" ht="48.75" hidden="false" customHeight="true" outlineLevel="0" collapsed="false">
      <c r="A453" s="2"/>
      <c r="B453" s="44"/>
      <c r="C453" s="44"/>
      <c r="D453" s="4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9"/>
    </row>
    <row r="454" customFormat="false" ht="48.75" hidden="false" customHeight="true" outlineLevel="0" collapsed="false">
      <c r="A454" s="2"/>
      <c r="B454" s="44"/>
      <c r="C454" s="44"/>
      <c r="D454" s="4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9"/>
    </row>
    <row r="455" customFormat="false" ht="48.75" hidden="false" customHeight="true" outlineLevel="0" collapsed="false">
      <c r="A455" s="2"/>
      <c r="B455" s="44"/>
      <c r="C455" s="44"/>
      <c r="D455" s="4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9"/>
    </row>
    <row r="456" customFormat="false" ht="48.75" hidden="false" customHeight="true" outlineLevel="0" collapsed="false">
      <c r="A456" s="2"/>
      <c r="B456" s="44"/>
      <c r="C456" s="44"/>
      <c r="D456" s="4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9"/>
    </row>
    <row r="457" customFormat="false" ht="48.75" hidden="false" customHeight="true" outlineLevel="0" collapsed="false">
      <c r="A457" s="2"/>
      <c r="B457" s="44"/>
      <c r="C457" s="44"/>
      <c r="D457" s="4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9"/>
    </row>
    <row r="458" customFormat="false" ht="48.75" hidden="false" customHeight="true" outlineLevel="0" collapsed="false">
      <c r="A458" s="2"/>
      <c r="B458" s="44"/>
      <c r="C458" s="44"/>
      <c r="D458" s="4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9"/>
    </row>
    <row r="459" customFormat="false" ht="48.75" hidden="false" customHeight="true" outlineLevel="0" collapsed="false">
      <c r="A459" s="2"/>
      <c r="B459" s="44"/>
      <c r="C459" s="44"/>
      <c r="D459" s="4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9"/>
    </row>
    <row r="460" customFormat="false" ht="48.75" hidden="false" customHeight="true" outlineLevel="0" collapsed="false">
      <c r="A460" s="2"/>
      <c r="B460" s="44"/>
      <c r="C460" s="44"/>
      <c r="D460" s="4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9"/>
    </row>
    <row r="461" customFormat="false" ht="48.75" hidden="false" customHeight="true" outlineLevel="0" collapsed="false">
      <c r="A461" s="2"/>
      <c r="B461" s="44"/>
      <c r="C461" s="44"/>
      <c r="D461" s="4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9"/>
    </row>
    <row r="462" customFormat="false" ht="48.75" hidden="false" customHeight="true" outlineLevel="0" collapsed="false">
      <c r="A462" s="2"/>
      <c r="B462" s="44"/>
      <c r="C462" s="44"/>
      <c r="D462" s="4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9"/>
    </row>
    <row r="463" customFormat="false" ht="48.75" hidden="false" customHeight="true" outlineLevel="0" collapsed="false">
      <c r="A463" s="2"/>
      <c r="B463" s="44"/>
      <c r="C463" s="44"/>
      <c r="D463" s="4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9"/>
    </row>
    <row r="464" customFormat="false" ht="48.75" hidden="false" customHeight="true" outlineLevel="0" collapsed="false">
      <c r="A464" s="2"/>
      <c r="B464" s="44"/>
      <c r="C464" s="44"/>
      <c r="D464" s="4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9"/>
    </row>
    <row r="465" customFormat="false" ht="48.75" hidden="false" customHeight="true" outlineLevel="0" collapsed="false">
      <c r="A465" s="2"/>
      <c r="B465" s="44"/>
      <c r="C465" s="44"/>
      <c r="D465" s="4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9"/>
    </row>
    <row r="466" customFormat="false" ht="48.75" hidden="false" customHeight="true" outlineLevel="0" collapsed="false">
      <c r="A466" s="2"/>
      <c r="B466" s="44"/>
      <c r="C466" s="44"/>
      <c r="D466" s="4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9"/>
    </row>
    <row r="467" customFormat="false" ht="48.75" hidden="false" customHeight="true" outlineLevel="0" collapsed="false">
      <c r="A467" s="2"/>
      <c r="B467" s="44"/>
      <c r="C467" s="44"/>
      <c r="D467" s="4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9"/>
    </row>
    <row r="468" customFormat="false" ht="48.75" hidden="false" customHeight="true" outlineLevel="0" collapsed="false">
      <c r="A468" s="2"/>
      <c r="B468" s="44"/>
      <c r="C468" s="44"/>
      <c r="D468" s="4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9"/>
    </row>
    <row r="469" customFormat="false" ht="48.75" hidden="false" customHeight="true" outlineLevel="0" collapsed="false">
      <c r="A469" s="2"/>
      <c r="B469" s="44"/>
      <c r="C469" s="44"/>
      <c r="D469" s="4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9"/>
    </row>
    <row r="470" customFormat="false" ht="48.75" hidden="false" customHeight="true" outlineLevel="0" collapsed="false">
      <c r="A470" s="2"/>
      <c r="B470" s="44"/>
      <c r="C470" s="44"/>
      <c r="D470" s="4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9"/>
    </row>
    <row r="471" customFormat="false" ht="48.75" hidden="false" customHeight="true" outlineLevel="0" collapsed="false">
      <c r="A471" s="2"/>
      <c r="B471" s="44"/>
      <c r="C471" s="44"/>
      <c r="D471" s="4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9"/>
    </row>
    <row r="472" customFormat="false" ht="48.75" hidden="false" customHeight="true" outlineLevel="0" collapsed="false">
      <c r="A472" s="2"/>
      <c r="B472" s="44"/>
      <c r="C472" s="44"/>
      <c r="D472" s="4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9"/>
    </row>
    <row r="473" customFormat="false" ht="48.75" hidden="false" customHeight="true" outlineLevel="0" collapsed="false">
      <c r="A473" s="2"/>
      <c r="B473" s="44"/>
      <c r="C473" s="44"/>
      <c r="D473" s="4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9"/>
    </row>
    <row r="474" customFormat="false" ht="48.75" hidden="false" customHeight="true" outlineLevel="0" collapsed="false">
      <c r="A474" s="2"/>
      <c r="B474" s="44"/>
      <c r="C474" s="44"/>
      <c r="D474" s="4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9"/>
    </row>
    <row r="475" customFormat="false" ht="48.75" hidden="false" customHeight="true" outlineLevel="0" collapsed="false">
      <c r="A475" s="2"/>
      <c r="B475" s="44"/>
      <c r="C475" s="44"/>
      <c r="D475" s="4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9"/>
    </row>
    <row r="476" customFormat="false" ht="48.75" hidden="false" customHeight="true" outlineLevel="0" collapsed="false">
      <c r="A476" s="2"/>
      <c r="B476" s="44"/>
      <c r="C476" s="44"/>
      <c r="D476" s="4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9"/>
    </row>
    <row r="477" customFormat="false" ht="48.75" hidden="false" customHeight="true" outlineLevel="0" collapsed="false">
      <c r="A477" s="2"/>
      <c r="B477" s="44"/>
      <c r="C477" s="44"/>
      <c r="D477" s="4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9"/>
    </row>
    <row r="478" customFormat="false" ht="48.75" hidden="false" customHeight="true" outlineLevel="0" collapsed="false">
      <c r="A478" s="2"/>
      <c r="B478" s="44"/>
      <c r="C478" s="44"/>
      <c r="D478" s="4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9"/>
    </row>
    <row r="479" customFormat="false" ht="48.75" hidden="false" customHeight="true" outlineLevel="0" collapsed="false">
      <c r="A479" s="2"/>
      <c r="B479" s="44"/>
      <c r="C479" s="44"/>
      <c r="D479" s="4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9"/>
    </row>
    <row r="480" customFormat="false" ht="48.75" hidden="false" customHeight="true" outlineLevel="0" collapsed="false">
      <c r="A480" s="2"/>
      <c r="B480" s="44"/>
      <c r="C480" s="44"/>
      <c r="D480" s="4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9"/>
    </row>
    <row r="481" customFormat="false" ht="48.75" hidden="false" customHeight="true" outlineLevel="0" collapsed="false">
      <c r="A481" s="2"/>
      <c r="B481" s="44"/>
      <c r="C481" s="44"/>
      <c r="D481" s="4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9"/>
    </row>
    <row r="482" customFormat="false" ht="48.75" hidden="false" customHeight="true" outlineLevel="0" collapsed="false">
      <c r="A482" s="2"/>
      <c r="B482" s="44"/>
      <c r="C482" s="44"/>
      <c r="D482" s="4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9"/>
    </row>
    <row r="483" customFormat="false" ht="48.75" hidden="false" customHeight="true" outlineLevel="0" collapsed="false">
      <c r="A483" s="2"/>
      <c r="B483" s="44"/>
      <c r="C483" s="44"/>
      <c r="D483" s="4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9"/>
    </row>
    <row r="484" customFormat="false" ht="48.75" hidden="false" customHeight="true" outlineLevel="0" collapsed="false">
      <c r="A484" s="2"/>
      <c r="B484" s="44"/>
      <c r="C484" s="44"/>
      <c r="D484" s="4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9"/>
    </row>
    <row r="485" customFormat="false" ht="48.75" hidden="false" customHeight="true" outlineLevel="0" collapsed="false">
      <c r="A485" s="2"/>
      <c r="B485" s="44"/>
      <c r="C485" s="44"/>
      <c r="D485" s="4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9"/>
    </row>
    <row r="486" customFormat="false" ht="48.75" hidden="false" customHeight="true" outlineLevel="0" collapsed="false">
      <c r="A486" s="2"/>
      <c r="B486" s="44"/>
      <c r="C486" s="44"/>
      <c r="D486" s="4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9"/>
    </row>
    <row r="487" customFormat="false" ht="48.75" hidden="false" customHeight="true" outlineLevel="0" collapsed="false">
      <c r="A487" s="2"/>
      <c r="B487" s="44"/>
      <c r="C487" s="44"/>
      <c r="D487" s="4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9"/>
    </row>
    <row r="488" customFormat="false" ht="48.75" hidden="false" customHeight="true" outlineLevel="0" collapsed="false">
      <c r="A488" s="2"/>
      <c r="B488" s="44"/>
      <c r="C488" s="44"/>
      <c r="D488" s="4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9"/>
    </row>
    <row r="489" customFormat="false" ht="48.75" hidden="false" customHeight="true" outlineLevel="0" collapsed="false">
      <c r="A489" s="2"/>
      <c r="B489" s="44"/>
      <c r="C489" s="44"/>
      <c r="D489" s="4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9"/>
    </row>
    <row r="490" customFormat="false" ht="48.75" hidden="false" customHeight="true" outlineLevel="0" collapsed="false">
      <c r="A490" s="2"/>
      <c r="B490" s="44"/>
      <c r="C490" s="44"/>
      <c r="D490" s="4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9"/>
    </row>
    <row r="491" customFormat="false" ht="48.75" hidden="false" customHeight="true" outlineLevel="0" collapsed="false">
      <c r="A491" s="2"/>
      <c r="B491" s="44"/>
      <c r="C491" s="44"/>
      <c r="D491" s="4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9"/>
    </row>
    <row r="492" customFormat="false" ht="48.75" hidden="false" customHeight="true" outlineLevel="0" collapsed="false">
      <c r="A492" s="2"/>
      <c r="B492" s="44"/>
      <c r="C492" s="44"/>
      <c r="D492" s="4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9"/>
    </row>
    <row r="493" customFormat="false" ht="48.75" hidden="false" customHeight="true" outlineLevel="0" collapsed="false">
      <c r="A493" s="2"/>
      <c r="B493" s="44"/>
      <c r="C493" s="44"/>
      <c r="D493" s="4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9"/>
    </row>
    <row r="494" customFormat="false" ht="48.75" hidden="false" customHeight="true" outlineLevel="0" collapsed="false">
      <c r="A494" s="2"/>
      <c r="B494" s="44"/>
      <c r="C494" s="44"/>
      <c r="D494" s="4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9"/>
    </row>
    <row r="495" customFormat="false" ht="48.75" hidden="false" customHeight="true" outlineLevel="0" collapsed="false">
      <c r="A495" s="2"/>
      <c r="B495" s="44"/>
      <c r="C495" s="44"/>
      <c r="D495" s="4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9"/>
    </row>
    <row r="496" customFormat="false" ht="48.75" hidden="false" customHeight="true" outlineLevel="0" collapsed="false">
      <c r="A496" s="2"/>
      <c r="B496" s="44"/>
      <c r="C496" s="44"/>
      <c r="D496" s="4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9"/>
    </row>
    <row r="497" customFormat="false" ht="48.75" hidden="false" customHeight="true" outlineLevel="0" collapsed="false">
      <c r="A497" s="2"/>
      <c r="B497" s="44"/>
      <c r="C497" s="44"/>
      <c r="D497" s="4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9"/>
    </row>
    <row r="498" customFormat="false" ht="48.75" hidden="false" customHeight="true" outlineLevel="0" collapsed="false">
      <c r="A498" s="2"/>
      <c r="B498" s="44"/>
      <c r="C498" s="44"/>
      <c r="D498" s="4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9"/>
    </row>
    <row r="499" customFormat="false" ht="48.75" hidden="false" customHeight="true" outlineLevel="0" collapsed="false">
      <c r="A499" s="2"/>
      <c r="B499" s="44"/>
      <c r="C499" s="44"/>
      <c r="D499" s="4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9"/>
    </row>
    <row r="500" customFormat="false" ht="48.75" hidden="false" customHeight="true" outlineLevel="0" collapsed="false">
      <c r="A500" s="2"/>
      <c r="B500" s="44"/>
      <c r="C500" s="44"/>
      <c r="D500" s="4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9"/>
    </row>
    <row r="501" customFormat="false" ht="48.75" hidden="false" customHeight="true" outlineLevel="0" collapsed="false">
      <c r="A501" s="2"/>
      <c r="B501" s="44"/>
      <c r="C501" s="44"/>
      <c r="D501" s="4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9"/>
    </row>
    <row r="502" customFormat="false" ht="48.75" hidden="false" customHeight="true" outlineLevel="0" collapsed="false">
      <c r="A502" s="2"/>
      <c r="B502" s="44"/>
      <c r="C502" s="44"/>
      <c r="D502" s="4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9"/>
    </row>
    <row r="503" customFormat="false" ht="48.75" hidden="false" customHeight="true" outlineLevel="0" collapsed="false">
      <c r="A503" s="2"/>
      <c r="B503" s="44"/>
      <c r="C503" s="44"/>
      <c r="D503" s="4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9"/>
    </row>
    <row r="504" customFormat="false" ht="48.75" hidden="false" customHeight="true" outlineLevel="0" collapsed="false">
      <c r="A504" s="2"/>
      <c r="B504" s="44"/>
      <c r="C504" s="44"/>
      <c r="D504" s="4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9"/>
    </row>
    <row r="505" customFormat="false" ht="48.75" hidden="false" customHeight="true" outlineLevel="0" collapsed="false">
      <c r="A505" s="2"/>
      <c r="B505" s="44"/>
      <c r="C505" s="44"/>
      <c r="D505" s="4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9"/>
    </row>
    <row r="506" customFormat="false" ht="48.75" hidden="false" customHeight="true" outlineLevel="0" collapsed="false">
      <c r="A506" s="2"/>
      <c r="B506" s="44"/>
      <c r="C506" s="44"/>
      <c r="D506" s="4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9"/>
    </row>
    <row r="507" customFormat="false" ht="48.75" hidden="false" customHeight="true" outlineLevel="0" collapsed="false">
      <c r="A507" s="2"/>
      <c r="B507" s="44"/>
      <c r="C507" s="44"/>
      <c r="D507" s="4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9"/>
    </row>
    <row r="508" customFormat="false" ht="48.75" hidden="false" customHeight="true" outlineLevel="0" collapsed="false">
      <c r="A508" s="2"/>
      <c r="B508" s="44"/>
      <c r="C508" s="44"/>
      <c r="D508" s="4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9"/>
    </row>
    <row r="509" customFormat="false" ht="48.75" hidden="false" customHeight="true" outlineLevel="0" collapsed="false">
      <c r="A509" s="2"/>
      <c r="B509" s="44"/>
      <c r="C509" s="44"/>
      <c r="D509" s="4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9"/>
    </row>
    <row r="510" customFormat="false" ht="48.75" hidden="false" customHeight="true" outlineLevel="0" collapsed="false">
      <c r="A510" s="2"/>
      <c r="B510" s="44"/>
      <c r="C510" s="44"/>
      <c r="D510" s="4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9"/>
    </row>
    <row r="511" customFormat="false" ht="48.75" hidden="false" customHeight="true" outlineLevel="0" collapsed="false">
      <c r="A511" s="2"/>
      <c r="B511" s="44"/>
      <c r="C511" s="44"/>
      <c r="D511" s="4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9"/>
    </row>
    <row r="512" customFormat="false" ht="48.75" hidden="false" customHeight="true" outlineLevel="0" collapsed="false">
      <c r="A512" s="2"/>
      <c r="B512" s="44"/>
      <c r="C512" s="44"/>
      <c r="D512" s="4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9"/>
    </row>
    <row r="513" customFormat="false" ht="48.75" hidden="false" customHeight="true" outlineLevel="0" collapsed="false">
      <c r="A513" s="2"/>
      <c r="B513" s="44"/>
      <c r="C513" s="44"/>
      <c r="D513" s="4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9"/>
    </row>
    <row r="514" customFormat="false" ht="48.75" hidden="false" customHeight="true" outlineLevel="0" collapsed="false">
      <c r="A514" s="2"/>
      <c r="B514" s="44"/>
      <c r="C514" s="44"/>
      <c r="D514" s="4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9"/>
    </row>
    <row r="515" customFormat="false" ht="48.75" hidden="false" customHeight="true" outlineLevel="0" collapsed="false">
      <c r="A515" s="2"/>
      <c r="B515" s="44"/>
      <c r="C515" s="44"/>
      <c r="D515" s="4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9"/>
    </row>
    <row r="516" customFormat="false" ht="48.75" hidden="false" customHeight="true" outlineLevel="0" collapsed="false">
      <c r="A516" s="2"/>
      <c r="B516" s="44"/>
      <c r="C516" s="44"/>
      <c r="D516" s="4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9"/>
    </row>
    <row r="517" customFormat="false" ht="48.75" hidden="false" customHeight="true" outlineLevel="0" collapsed="false">
      <c r="A517" s="2"/>
      <c r="B517" s="44"/>
      <c r="C517" s="44"/>
      <c r="D517" s="4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9"/>
    </row>
    <row r="518" customFormat="false" ht="48.75" hidden="false" customHeight="true" outlineLevel="0" collapsed="false">
      <c r="A518" s="2"/>
      <c r="B518" s="44"/>
      <c r="C518" s="44"/>
      <c r="D518" s="4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9"/>
    </row>
    <row r="519" customFormat="false" ht="48.75" hidden="false" customHeight="true" outlineLevel="0" collapsed="false">
      <c r="A519" s="2"/>
      <c r="B519" s="44"/>
      <c r="C519" s="44"/>
      <c r="D519" s="4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9"/>
    </row>
    <row r="520" customFormat="false" ht="48.75" hidden="false" customHeight="true" outlineLevel="0" collapsed="false">
      <c r="A520" s="2"/>
      <c r="B520" s="44"/>
      <c r="C520" s="44"/>
      <c r="D520" s="4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9"/>
    </row>
    <row r="521" customFormat="false" ht="48.75" hidden="false" customHeight="true" outlineLevel="0" collapsed="false">
      <c r="A521" s="2"/>
      <c r="B521" s="44"/>
      <c r="C521" s="44"/>
      <c r="D521" s="4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9"/>
    </row>
    <row r="522" customFormat="false" ht="48.75" hidden="false" customHeight="true" outlineLevel="0" collapsed="false">
      <c r="A522" s="2"/>
      <c r="B522" s="44"/>
      <c r="C522" s="44"/>
      <c r="D522" s="4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9"/>
    </row>
    <row r="523" customFormat="false" ht="48.75" hidden="false" customHeight="true" outlineLevel="0" collapsed="false">
      <c r="A523" s="2"/>
      <c r="B523" s="44"/>
      <c r="C523" s="44"/>
      <c r="D523" s="4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9"/>
    </row>
    <row r="524" customFormat="false" ht="48.75" hidden="false" customHeight="true" outlineLevel="0" collapsed="false">
      <c r="A524" s="2"/>
      <c r="B524" s="44"/>
      <c r="C524" s="44"/>
      <c r="D524" s="4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9"/>
    </row>
    <row r="525" customFormat="false" ht="48.75" hidden="false" customHeight="true" outlineLevel="0" collapsed="false">
      <c r="A525" s="2"/>
      <c r="B525" s="44"/>
      <c r="C525" s="44"/>
      <c r="D525" s="4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9"/>
    </row>
    <row r="526" customFormat="false" ht="48.75" hidden="false" customHeight="true" outlineLevel="0" collapsed="false">
      <c r="A526" s="2"/>
      <c r="B526" s="44"/>
      <c r="C526" s="44"/>
      <c r="D526" s="4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9"/>
    </row>
    <row r="527" customFormat="false" ht="48.75" hidden="false" customHeight="true" outlineLevel="0" collapsed="false">
      <c r="A527" s="2"/>
      <c r="B527" s="44"/>
      <c r="C527" s="44"/>
      <c r="D527" s="4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9"/>
    </row>
    <row r="528" customFormat="false" ht="48.75" hidden="false" customHeight="true" outlineLevel="0" collapsed="false">
      <c r="A528" s="2"/>
      <c r="B528" s="44"/>
      <c r="C528" s="44"/>
      <c r="D528" s="4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9"/>
    </row>
    <row r="529" customFormat="false" ht="48.75" hidden="false" customHeight="true" outlineLevel="0" collapsed="false">
      <c r="A529" s="2"/>
      <c r="B529" s="44"/>
      <c r="C529" s="44"/>
      <c r="D529" s="4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9"/>
    </row>
    <row r="530" customFormat="false" ht="48.75" hidden="false" customHeight="true" outlineLevel="0" collapsed="false">
      <c r="A530" s="2"/>
      <c r="B530" s="44"/>
      <c r="C530" s="44"/>
      <c r="D530" s="4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9"/>
    </row>
    <row r="531" customFormat="false" ht="48.75" hidden="false" customHeight="true" outlineLevel="0" collapsed="false">
      <c r="A531" s="2"/>
      <c r="B531" s="44"/>
      <c r="C531" s="44"/>
      <c r="D531" s="4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9"/>
    </row>
    <row r="532" customFormat="false" ht="48.75" hidden="false" customHeight="true" outlineLevel="0" collapsed="false">
      <c r="A532" s="2"/>
      <c r="B532" s="44"/>
      <c r="C532" s="44"/>
      <c r="D532" s="4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9"/>
    </row>
    <row r="533" customFormat="false" ht="48.75" hidden="false" customHeight="true" outlineLevel="0" collapsed="false">
      <c r="A533" s="2"/>
      <c r="B533" s="44"/>
      <c r="C533" s="44"/>
      <c r="D533" s="4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9"/>
    </row>
    <row r="534" customFormat="false" ht="48.75" hidden="false" customHeight="true" outlineLevel="0" collapsed="false">
      <c r="A534" s="2"/>
      <c r="B534" s="44"/>
      <c r="C534" s="44"/>
      <c r="D534" s="4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9"/>
    </row>
    <row r="535" customFormat="false" ht="48.75" hidden="false" customHeight="true" outlineLevel="0" collapsed="false">
      <c r="A535" s="2"/>
      <c r="B535" s="44"/>
      <c r="C535" s="44"/>
      <c r="D535" s="4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9"/>
    </row>
    <row r="536" customFormat="false" ht="48.75" hidden="false" customHeight="true" outlineLevel="0" collapsed="false">
      <c r="A536" s="2"/>
      <c r="B536" s="44"/>
      <c r="C536" s="44"/>
      <c r="D536" s="4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9"/>
    </row>
    <row r="537" customFormat="false" ht="48.75" hidden="false" customHeight="true" outlineLevel="0" collapsed="false">
      <c r="A537" s="2"/>
      <c r="B537" s="44"/>
      <c r="C537" s="44"/>
      <c r="D537" s="4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9"/>
    </row>
    <row r="538" customFormat="false" ht="48.75" hidden="false" customHeight="true" outlineLevel="0" collapsed="false">
      <c r="A538" s="2"/>
      <c r="B538" s="44"/>
      <c r="C538" s="44"/>
      <c r="D538" s="4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9"/>
    </row>
    <row r="539" customFormat="false" ht="48.75" hidden="false" customHeight="true" outlineLevel="0" collapsed="false">
      <c r="A539" s="2"/>
      <c r="B539" s="44"/>
      <c r="C539" s="44"/>
      <c r="D539" s="4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9"/>
    </row>
    <row r="540" customFormat="false" ht="48.75" hidden="false" customHeight="true" outlineLevel="0" collapsed="false">
      <c r="A540" s="2"/>
      <c r="B540" s="44"/>
      <c r="C540" s="44"/>
      <c r="D540" s="4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9"/>
    </row>
    <row r="541" customFormat="false" ht="48.75" hidden="false" customHeight="true" outlineLevel="0" collapsed="false">
      <c r="A541" s="2"/>
      <c r="B541" s="44"/>
      <c r="C541" s="44"/>
      <c r="D541" s="4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9"/>
    </row>
    <row r="542" customFormat="false" ht="48.75" hidden="false" customHeight="true" outlineLevel="0" collapsed="false">
      <c r="A542" s="2"/>
      <c r="B542" s="44"/>
      <c r="C542" s="44"/>
      <c r="D542" s="4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9"/>
    </row>
    <row r="543" customFormat="false" ht="48.75" hidden="false" customHeight="true" outlineLevel="0" collapsed="false">
      <c r="A543" s="2"/>
      <c r="B543" s="44"/>
      <c r="C543" s="44"/>
      <c r="D543" s="4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9"/>
    </row>
    <row r="544" customFormat="false" ht="48.75" hidden="false" customHeight="true" outlineLevel="0" collapsed="false">
      <c r="A544" s="2"/>
      <c r="B544" s="44"/>
      <c r="C544" s="44"/>
      <c r="D544" s="4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9"/>
    </row>
    <row r="545" customFormat="false" ht="48.75" hidden="false" customHeight="true" outlineLevel="0" collapsed="false">
      <c r="A545" s="2"/>
      <c r="B545" s="44"/>
      <c r="C545" s="44"/>
      <c r="D545" s="4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9"/>
    </row>
    <row r="546" customFormat="false" ht="48.75" hidden="false" customHeight="true" outlineLevel="0" collapsed="false">
      <c r="A546" s="2"/>
      <c r="B546" s="44"/>
      <c r="C546" s="44"/>
      <c r="D546" s="4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9"/>
    </row>
    <row r="547" customFormat="false" ht="48.75" hidden="false" customHeight="true" outlineLevel="0" collapsed="false">
      <c r="A547" s="2"/>
      <c r="B547" s="44"/>
      <c r="C547" s="44"/>
      <c r="D547" s="4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9"/>
    </row>
    <row r="548" customFormat="false" ht="48.75" hidden="false" customHeight="true" outlineLevel="0" collapsed="false">
      <c r="A548" s="2"/>
      <c r="B548" s="44"/>
      <c r="C548" s="44"/>
      <c r="D548" s="4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9"/>
    </row>
    <row r="549" customFormat="false" ht="48.75" hidden="false" customHeight="true" outlineLevel="0" collapsed="false">
      <c r="A549" s="2"/>
      <c r="B549" s="44"/>
      <c r="C549" s="44"/>
      <c r="D549" s="4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9"/>
    </row>
    <row r="550" customFormat="false" ht="48.75" hidden="false" customHeight="true" outlineLevel="0" collapsed="false">
      <c r="A550" s="2"/>
      <c r="B550" s="44"/>
      <c r="C550" s="44"/>
      <c r="D550" s="4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9"/>
    </row>
    <row r="551" customFormat="false" ht="48.75" hidden="false" customHeight="true" outlineLevel="0" collapsed="false">
      <c r="A551" s="2"/>
      <c r="B551" s="44"/>
      <c r="C551" s="44"/>
      <c r="D551" s="4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9"/>
    </row>
    <row r="552" customFormat="false" ht="48.75" hidden="false" customHeight="true" outlineLevel="0" collapsed="false">
      <c r="A552" s="2"/>
      <c r="B552" s="44"/>
      <c r="C552" s="44"/>
      <c r="D552" s="4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9"/>
    </row>
    <row r="553" customFormat="false" ht="48.75" hidden="false" customHeight="true" outlineLevel="0" collapsed="false">
      <c r="A553" s="2"/>
      <c r="B553" s="44"/>
      <c r="C553" s="44"/>
      <c r="D553" s="4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9"/>
    </row>
    <row r="554" customFormat="false" ht="48.75" hidden="false" customHeight="true" outlineLevel="0" collapsed="false">
      <c r="A554" s="2"/>
      <c r="B554" s="44"/>
      <c r="C554" s="44"/>
      <c r="D554" s="4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9"/>
    </row>
    <row r="555" customFormat="false" ht="48.75" hidden="false" customHeight="true" outlineLevel="0" collapsed="false">
      <c r="A555" s="2"/>
      <c r="B555" s="44"/>
      <c r="C555" s="44"/>
      <c r="D555" s="4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9"/>
    </row>
    <row r="556" customFormat="false" ht="48.75" hidden="false" customHeight="true" outlineLevel="0" collapsed="false">
      <c r="A556" s="2"/>
      <c r="B556" s="44"/>
      <c r="C556" s="44"/>
      <c r="D556" s="4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9"/>
    </row>
    <row r="557" customFormat="false" ht="48.75" hidden="false" customHeight="true" outlineLevel="0" collapsed="false">
      <c r="A557" s="2"/>
      <c r="B557" s="44"/>
      <c r="C557" s="44"/>
      <c r="D557" s="4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9"/>
    </row>
    <row r="558" customFormat="false" ht="48.75" hidden="false" customHeight="true" outlineLevel="0" collapsed="false">
      <c r="A558" s="2"/>
      <c r="B558" s="44"/>
      <c r="C558" s="44"/>
      <c r="D558" s="4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9"/>
    </row>
    <row r="559" customFormat="false" ht="48.75" hidden="false" customHeight="true" outlineLevel="0" collapsed="false">
      <c r="A559" s="2"/>
      <c r="B559" s="44"/>
      <c r="C559" s="44"/>
      <c r="D559" s="4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9"/>
    </row>
    <row r="560" customFormat="false" ht="48.75" hidden="false" customHeight="true" outlineLevel="0" collapsed="false">
      <c r="A560" s="2"/>
      <c r="B560" s="44"/>
      <c r="C560" s="44"/>
      <c r="D560" s="4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9"/>
    </row>
    <row r="561" customFormat="false" ht="48.75" hidden="false" customHeight="true" outlineLevel="0" collapsed="false">
      <c r="A561" s="2"/>
      <c r="B561" s="44"/>
      <c r="C561" s="44"/>
      <c r="D561" s="4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9"/>
    </row>
    <row r="562" customFormat="false" ht="48.75" hidden="false" customHeight="true" outlineLevel="0" collapsed="false">
      <c r="A562" s="2"/>
      <c r="B562" s="44"/>
      <c r="C562" s="44"/>
      <c r="D562" s="4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9"/>
    </row>
    <row r="563" customFormat="false" ht="48.75" hidden="false" customHeight="true" outlineLevel="0" collapsed="false">
      <c r="A563" s="2"/>
      <c r="B563" s="44"/>
      <c r="C563" s="44"/>
      <c r="D563" s="4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9"/>
    </row>
    <row r="564" customFormat="false" ht="48.75" hidden="false" customHeight="true" outlineLevel="0" collapsed="false">
      <c r="A564" s="2"/>
      <c r="B564" s="44"/>
      <c r="C564" s="44"/>
      <c r="D564" s="4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9"/>
    </row>
    <row r="565" customFormat="false" ht="48.75" hidden="false" customHeight="true" outlineLevel="0" collapsed="false">
      <c r="A565" s="2"/>
      <c r="B565" s="44"/>
      <c r="C565" s="44"/>
      <c r="D565" s="4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9"/>
    </row>
    <row r="566" customFormat="false" ht="48.75" hidden="false" customHeight="true" outlineLevel="0" collapsed="false">
      <c r="A566" s="2"/>
      <c r="B566" s="44"/>
      <c r="C566" s="44"/>
      <c r="D566" s="4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9"/>
    </row>
    <row r="567" customFormat="false" ht="48.75" hidden="false" customHeight="true" outlineLevel="0" collapsed="false">
      <c r="A567" s="2"/>
      <c r="B567" s="44"/>
      <c r="C567" s="44"/>
      <c r="D567" s="4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9"/>
    </row>
    <row r="568" customFormat="false" ht="48.75" hidden="false" customHeight="true" outlineLevel="0" collapsed="false">
      <c r="A568" s="2"/>
      <c r="B568" s="44"/>
      <c r="C568" s="44"/>
      <c r="D568" s="4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9"/>
    </row>
    <row r="569" customFormat="false" ht="48.75" hidden="false" customHeight="true" outlineLevel="0" collapsed="false">
      <c r="A569" s="2"/>
      <c r="B569" s="44"/>
      <c r="C569" s="44"/>
      <c r="D569" s="4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9"/>
    </row>
    <row r="570" customFormat="false" ht="48.75" hidden="false" customHeight="true" outlineLevel="0" collapsed="false">
      <c r="A570" s="2"/>
      <c r="B570" s="44"/>
      <c r="C570" s="44"/>
      <c r="D570" s="4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9"/>
    </row>
    <row r="571" customFormat="false" ht="48.75" hidden="false" customHeight="true" outlineLevel="0" collapsed="false">
      <c r="A571" s="2"/>
      <c r="B571" s="44"/>
      <c r="C571" s="44"/>
      <c r="D571" s="4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9"/>
    </row>
    <row r="572" customFormat="false" ht="48.75" hidden="false" customHeight="true" outlineLevel="0" collapsed="false">
      <c r="A572" s="2"/>
      <c r="B572" s="44"/>
      <c r="C572" s="44"/>
      <c r="D572" s="4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9"/>
    </row>
    <row r="573" customFormat="false" ht="48.75" hidden="false" customHeight="true" outlineLevel="0" collapsed="false">
      <c r="A573" s="2"/>
      <c r="B573" s="44"/>
      <c r="C573" s="44"/>
      <c r="D573" s="4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9"/>
    </row>
    <row r="574" customFormat="false" ht="48.75" hidden="false" customHeight="true" outlineLevel="0" collapsed="false">
      <c r="A574" s="2"/>
      <c r="B574" s="44"/>
      <c r="C574" s="44"/>
      <c r="D574" s="4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9"/>
    </row>
    <row r="575" customFormat="false" ht="48.75" hidden="false" customHeight="true" outlineLevel="0" collapsed="false">
      <c r="A575" s="2"/>
      <c r="B575" s="44"/>
      <c r="C575" s="44"/>
      <c r="D575" s="4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9"/>
    </row>
    <row r="576" customFormat="false" ht="48.75" hidden="false" customHeight="true" outlineLevel="0" collapsed="false">
      <c r="A576" s="2"/>
      <c r="B576" s="44"/>
      <c r="C576" s="44"/>
      <c r="D576" s="4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9"/>
    </row>
    <row r="577" customFormat="false" ht="48.75" hidden="false" customHeight="true" outlineLevel="0" collapsed="false">
      <c r="A577" s="2"/>
      <c r="B577" s="44"/>
      <c r="C577" s="44"/>
      <c r="D577" s="4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9"/>
    </row>
    <row r="578" customFormat="false" ht="48.75" hidden="false" customHeight="true" outlineLevel="0" collapsed="false">
      <c r="A578" s="2"/>
      <c r="B578" s="44"/>
      <c r="C578" s="44"/>
      <c r="D578" s="4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9"/>
    </row>
    <row r="579" customFormat="false" ht="48.75" hidden="false" customHeight="true" outlineLevel="0" collapsed="false">
      <c r="A579" s="2"/>
      <c r="B579" s="44"/>
      <c r="C579" s="44"/>
      <c r="D579" s="4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9"/>
    </row>
    <row r="580" customFormat="false" ht="48.75" hidden="false" customHeight="true" outlineLevel="0" collapsed="false">
      <c r="A580" s="2"/>
      <c r="B580" s="44"/>
      <c r="C580" s="44"/>
      <c r="D580" s="4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9"/>
    </row>
    <row r="581" customFormat="false" ht="48.75" hidden="false" customHeight="true" outlineLevel="0" collapsed="false">
      <c r="A581" s="2"/>
      <c r="B581" s="44"/>
      <c r="C581" s="44"/>
      <c r="D581" s="4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9"/>
    </row>
    <row r="582" customFormat="false" ht="48.75" hidden="false" customHeight="true" outlineLevel="0" collapsed="false">
      <c r="A582" s="2"/>
      <c r="B582" s="44"/>
      <c r="C582" s="44"/>
      <c r="D582" s="4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9"/>
    </row>
    <row r="583" customFormat="false" ht="48.75" hidden="false" customHeight="true" outlineLevel="0" collapsed="false">
      <c r="A583" s="2"/>
      <c r="B583" s="44"/>
      <c r="C583" s="44"/>
      <c r="D583" s="4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9"/>
    </row>
    <row r="584" customFormat="false" ht="48.75" hidden="false" customHeight="true" outlineLevel="0" collapsed="false">
      <c r="A584" s="2"/>
      <c r="B584" s="44"/>
      <c r="C584" s="44"/>
      <c r="D584" s="4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9"/>
    </row>
    <row r="585" customFormat="false" ht="48.75" hidden="false" customHeight="true" outlineLevel="0" collapsed="false">
      <c r="A585" s="2"/>
      <c r="B585" s="44"/>
      <c r="C585" s="44"/>
      <c r="D585" s="4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9"/>
    </row>
    <row r="586" customFormat="false" ht="48.75" hidden="false" customHeight="true" outlineLevel="0" collapsed="false">
      <c r="A586" s="2"/>
      <c r="B586" s="44"/>
      <c r="C586" s="44"/>
      <c r="D586" s="4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9"/>
    </row>
    <row r="587" customFormat="false" ht="48.75" hidden="false" customHeight="true" outlineLevel="0" collapsed="false">
      <c r="A587" s="2"/>
      <c r="B587" s="44"/>
      <c r="C587" s="44"/>
      <c r="D587" s="4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9"/>
    </row>
    <row r="588" customFormat="false" ht="48.75" hidden="false" customHeight="true" outlineLevel="0" collapsed="false">
      <c r="A588" s="2"/>
      <c r="B588" s="44"/>
      <c r="C588" s="44"/>
      <c r="D588" s="4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9"/>
    </row>
    <row r="589" customFormat="false" ht="48.75" hidden="false" customHeight="true" outlineLevel="0" collapsed="false">
      <c r="A589" s="2"/>
      <c r="B589" s="44"/>
      <c r="C589" s="44"/>
      <c r="D589" s="4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9"/>
    </row>
    <row r="590" customFormat="false" ht="48.75" hidden="false" customHeight="true" outlineLevel="0" collapsed="false">
      <c r="A590" s="2"/>
      <c r="B590" s="44"/>
      <c r="C590" s="44"/>
      <c r="D590" s="4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9"/>
    </row>
    <row r="591" customFormat="false" ht="48.75" hidden="false" customHeight="true" outlineLevel="0" collapsed="false">
      <c r="A591" s="2"/>
      <c r="B591" s="44"/>
      <c r="C591" s="44"/>
      <c r="D591" s="4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9"/>
    </row>
    <row r="592" customFormat="false" ht="48.75" hidden="false" customHeight="true" outlineLevel="0" collapsed="false">
      <c r="A592" s="2"/>
      <c r="B592" s="44"/>
      <c r="C592" s="44"/>
      <c r="D592" s="4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9"/>
    </row>
    <row r="593" customFormat="false" ht="48.75" hidden="false" customHeight="true" outlineLevel="0" collapsed="false">
      <c r="A593" s="2"/>
      <c r="B593" s="44"/>
      <c r="C593" s="44"/>
      <c r="D593" s="4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9"/>
    </row>
    <row r="594" customFormat="false" ht="48.75" hidden="false" customHeight="true" outlineLevel="0" collapsed="false">
      <c r="A594" s="2"/>
      <c r="B594" s="44"/>
      <c r="C594" s="44"/>
      <c r="D594" s="4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9"/>
    </row>
    <row r="595" customFormat="false" ht="48.75" hidden="false" customHeight="true" outlineLevel="0" collapsed="false">
      <c r="A595" s="2"/>
      <c r="B595" s="44"/>
      <c r="C595" s="44"/>
      <c r="D595" s="4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9"/>
    </row>
    <row r="596" customFormat="false" ht="48.75" hidden="false" customHeight="true" outlineLevel="0" collapsed="false">
      <c r="A596" s="2"/>
      <c r="B596" s="44"/>
      <c r="C596" s="44"/>
      <c r="D596" s="4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9"/>
    </row>
    <row r="597" customFormat="false" ht="48.75" hidden="false" customHeight="true" outlineLevel="0" collapsed="false">
      <c r="A597" s="2"/>
      <c r="B597" s="44"/>
      <c r="C597" s="44"/>
      <c r="D597" s="4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9"/>
    </row>
    <row r="598" customFormat="false" ht="48.75" hidden="false" customHeight="true" outlineLevel="0" collapsed="false">
      <c r="A598" s="2"/>
      <c r="B598" s="44"/>
      <c r="C598" s="44"/>
      <c r="D598" s="4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9"/>
    </row>
    <row r="599" customFormat="false" ht="48.75" hidden="false" customHeight="true" outlineLevel="0" collapsed="false">
      <c r="A599" s="2"/>
      <c r="B599" s="44"/>
      <c r="C599" s="44"/>
      <c r="D599" s="4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9"/>
    </row>
    <row r="600" customFormat="false" ht="48.75" hidden="false" customHeight="true" outlineLevel="0" collapsed="false">
      <c r="A600" s="2"/>
      <c r="B600" s="44"/>
      <c r="C600" s="44"/>
      <c r="D600" s="4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9"/>
    </row>
    <row r="601" customFormat="false" ht="48.75" hidden="false" customHeight="true" outlineLevel="0" collapsed="false">
      <c r="A601" s="2"/>
      <c r="B601" s="44"/>
      <c r="C601" s="44"/>
      <c r="D601" s="4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9"/>
    </row>
    <row r="602" customFormat="false" ht="48.75" hidden="false" customHeight="true" outlineLevel="0" collapsed="false">
      <c r="A602" s="2"/>
      <c r="B602" s="44"/>
      <c r="C602" s="44"/>
      <c r="D602" s="4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9"/>
    </row>
    <row r="603" customFormat="false" ht="48.75" hidden="false" customHeight="true" outlineLevel="0" collapsed="false">
      <c r="A603" s="2"/>
      <c r="B603" s="44"/>
      <c r="C603" s="44"/>
      <c r="D603" s="4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9"/>
    </row>
    <row r="604" customFormat="false" ht="48.75" hidden="false" customHeight="true" outlineLevel="0" collapsed="false">
      <c r="A604" s="2"/>
      <c r="B604" s="44"/>
      <c r="C604" s="44"/>
      <c r="D604" s="4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9"/>
    </row>
    <row r="605" customFormat="false" ht="48.75" hidden="false" customHeight="true" outlineLevel="0" collapsed="false">
      <c r="A605" s="2"/>
      <c r="B605" s="44"/>
      <c r="C605" s="44"/>
      <c r="D605" s="4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9"/>
    </row>
    <row r="606" customFormat="false" ht="48.75" hidden="false" customHeight="true" outlineLevel="0" collapsed="false">
      <c r="A606" s="2"/>
      <c r="B606" s="44"/>
      <c r="C606" s="44"/>
      <c r="D606" s="4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9"/>
    </row>
    <row r="607" customFormat="false" ht="48.75" hidden="false" customHeight="true" outlineLevel="0" collapsed="false">
      <c r="A607" s="2"/>
      <c r="B607" s="44"/>
      <c r="C607" s="44"/>
      <c r="D607" s="4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9"/>
    </row>
    <row r="608" customFormat="false" ht="48.75" hidden="false" customHeight="true" outlineLevel="0" collapsed="false">
      <c r="A608" s="2"/>
      <c r="B608" s="44"/>
      <c r="C608" s="44"/>
      <c r="D608" s="4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9"/>
    </row>
    <row r="609" customFormat="false" ht="48.75" hidden="false" customHeight="true" outlineLevel="0" collapsed="false">
      <c r="A609" s="2"/>
      <c r="B609" s="44"/>
      <c r="C609" s="44"/>
      <c r="D609" s="4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9"/>
    </row>
    <row r="610" customFormat="false" ht="48.75" hidden="false" customHeight="true" outlineLevel="0" collapsed="false">
      <c r="A610" s="2"/>
      <c r="B610" s="44"/>
      <c r="C610" s="44"/>
      <c r="D610" s="4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9"/>
    </row>
    <row r="611" customFormat="false" ht="48.75" hidden="false" customHeight="true" outlineLevel="0" collapsed="false">
      <c r="A611" s="2"/>
      <c r="B611" s="44"/>
      <c r="C611" s="44"/>
      <c r="D611" s="4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9"/>
    </row>
    <row r="612" customFormat="false" ht="48.75" hidden="false" customHeight="true" outlineLevel="0" collapsed="false">
      <c r="A612" s="2"/>
      <c r="B612" s="44"/>
      <c r="C612" s="44"/>
      <c r="D612" s="4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9"/>
    </row>
    <row r="613" customFormat="false" ht="48.75" hidden="false" customHeight="true" outlineLevel="0" collapsed="false">
      <c r="A613" s="2"/>
      <c r="B613" s="44"/>
      <c r="C613" s="44"/>
      <c r="D613" s="4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9"/>
    </row>
    <row r="614" customFormat="false" ht="48.75" hidden="false" customHeight="true" outlineLevel="0" collapsed="false">
      <c r="A614" s="2"/>
      <c r="B614" s="44"/>
      <c r="C614" s="44"/>
      <c r="D614" s="4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9"/>
    </row>
    <row r="615" customFormat="false" ht="48.75" hidden="false" customHeight="true" outlineLevel="0" collapsed="false">
      <c r="A615" s="2"/>
      <c r="B615" s="44"/>
      <c r="C615" s="44"/>
      <c r="D615" s="4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9"/>
    </row>
    <row r="616" customFormat="false" ht="48.75" hidden="false" customHeight="true" outlineLevel="0" collapsed="false">
      <c r="A616" s="2"/>
      <c r="B616" s="44"/>
      <c r="C616" s="44"/>
      <c r="D616" s="4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9"/>
    </row>
    <row r="617" customFormat="false" ht="48.75" hidden="false" customHeight="true" outlineLevel="0" collapsed="false">
      <c r="A617" s="2"/>
      <c r="B617" s="44"/>
      <c r="C617" s="44"/>
      <c r="D617" s="4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9"/>
    </row>
    <row r="618" customFormat="false" ht="48.75" hidden="false" customHeight="true" outlineLevel="0" collapsed="false">
      <c r="A618" s="2"/>
      <c r="B618" s="44"/>
      <c r="C618" s="44"/>
      <c r="D618" s="4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9"/>
    </row>
    <row r="619" customFormat="false" ht="48.75" hidden="false" customHeight="true" outlineLevel="0" collapsed="false">
      <c r="A619" s="2"/>
      <c r="B619" s="44"/>
      <c r="C619" s="44"/>
      <c r="D619" s="4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9"/>
    </row>
    <row r="620" customFormat="false" ht="48.75" hidden="false" customHeight="true" outlineLevel="0" collapsed="false">
      <c r="A620" s="2"/>
      <c r="B620" s="44"/>
      <c r="C620" s="44"/>
      <c r="D620" s="4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9"/>
    </row>
    <row r="621" customFormat="false" ht="48.75" hidden="false" customHeight="true" outlineLevel="0" collapsed="false">
      <c r="A621" s="2"/>
      <c r="B621" s="44"/>
      <c r="C621" s="44"/>
      <c r="D621" s="4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9"/>
    </row>
    <row r="622" customFormat="false" ht="48.75" hidden="false" customHeight="true" outlineLevel="0" collapsed="false">
      <c r="A622" s="2"/>
      <c r="B622" s="44"/>
      <c r="C622" s="44"/>
      <c r="D622" s="4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9"/>
    </row>
    <row r="623" customFormat="false" ht="48.75" hidden="false" customHeight="true" outlineLevel="0" collapsed="false">
      <c r="A623" s="2"/>
      <c r="B623" s="44"/>
      <c r="C623" s="44"/>
      <c r="D623" s="4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9"/>
    </row>
    <row r="624" customFormat="false" ht="48.75" hidden="false" customHeight="true" outlineLevel="0" collapsed="false">
      <c r="A624" s="2"/>
      <c r="B624" s="44"/>
      <c r="C624" s="44"/>
      <c r="D624" s="4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9"/>
    </row>
    <row r="625" customFormat="false" ht="48.75" hidden="false" customHeight="true" outlineLevel="0" collapsed="false">
      <c r="A625" s="2"/>
      <c r="B625" s="44"/>
      <c r="C625" s="44"/>
      <c r="D625" s="4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9"/>
    </row>
    <row r="626" customFormat="false" ht="48.75" hidden="false" customHeight="true" outlineLevel="0" collapsed="false">
      <c r="A626" s="2"/>
      <c r="B626" s="44"/>
      <c r="C626" s="44"/>
      <c r="D626" s="4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9"/>
    </row>
    <row r="627" customFormat="false" ht="48.75" hidden="false" customHeight="true" outlineLevel="0" collapsed="false">
      <c r="A627" s="2"/>
      <c r="B627" s="44"/>
      <c r="C627" s="44"/>
      <c r="D627" s="4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9"/>
    </row>
    <row r="628" customFormat="false" ht="48.75" hidden="false" customHeight="true" outlineLevel="0" collapsed="false">
      <c r="A628" s="2"/>
      <c r="B628" s="44"/>
      <c r="C628" s="44"/>
      <c r="D628" s="4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9"/>
    </row>
    <row r="629" customFormat="false" ht="48.75" hidden="false" customHeight="true" outlineLevel="0" collapsed="false">
      <c r="A629" s="2"/>
      <c r="B629" s="44"/>
      <c r="C629" s="44"/>
      <c r="D629" s="4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9"/>
    </row>
    <row r="630" customFormat="false" ht="48.75" hidden="false" customHeight="true" outlineLevel="0" collapsed="false">
      <c r="A630" s="2"/>
      <c r="B630" s="44"/>
      <c r="C630" s="44"/>
      <c r="D630" s="4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9"/>
    </row>
    <row r="631" customFormat="false" ht="48.75" hidden="false" customHeight="true" outlineLevel="0" collapsed="false">
      <c r="A631" s="2"/>
      <c r="B631" s="44"/>
      <c r="C631" s="44"/>
      <c r="D631" s="4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9"/>
    </row>
    <row r="632" customFormat="false" ht="48.75" hidden="false" customHeight="true" outlineLevel="0" collapsed="false">
      <c r="A632" s="2"/>
      <c r="B632" s="44"/>
      <c r="C632" s="44"/>
      <c r="D632" s="4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9"/>
    </row>
    <row r="633" customFormat="false" ht="48.75" hidden="false" customHeight="true" outlineLevel="0" collapsed="false">
      <c r="A633" s="2"/>
      <c r="B633" s="44"/>
      <c r="C633" s="44"/>
      <c r="D633" s="4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9"/>
    </row>
    <row r="634" customFormat="false" ht="48.75" hidden="false" customHeight="true" outlineLevel="0" collapsed="false">
      <c r="A634" s="2"/>
      <c r="B634" s="44"/>
      <c r="C634" s="44"/>
      <c r="D634" s="4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9"/>
    </row>
    <row r="635" customFormat="false" ht="48.75" hidden="false" customHeight="true" outlineLevel="0" collapsed="false">
      <c r="A635" s="2"/>
      <c r="B635" s="44"/>
      <c r="C635" s="44"/>
      <c r="D635" s="4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9"/>
    </row>
    <row r="636" customFormat="false" ht="48.75" hidden="false" customHeight="true" outlineLevel="0" collapsed="false">
      <c r="A636" s="2"/>
      <c r="B636" s="44"/>
      <c r="C636" s="44"/>
      <c r="D636" s="4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9"/>
    </row>
    <row r="637" customFormat="false" ht="48.75" hidden="false" customHeight="true" outlineLevel="0" collapsed="false">
      <c r="A637" s="2"/>
      <c r="B637" s="44"/>
      <c r="C637" s="44"/>
      <c r="D637" s="4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9"/>
    </row>
    <row r="638" customFormat="false" ht="48.75" hidden="false" customHeight="true" outlineLevel="0" collapsed="false">
      <c r="A638" s="2"/>
      <c r="B638" s="44"/>
      <c r="C638" s="44"/>
      <c r="D638" s="4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9"/>
    </row>
    <row r="639" customFormat="false" ht="48.75" hidden="false" customHeight="true" outlineLevel="0" collapsed="false">
      <c r="A639" s="2"/>
      <c r="B639" s="44"/>
      <c r="C639" s="44"/>
      <c r="D639" s="4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9"/>
    </row>
    <row r="640" customFormat="false" ht="48.75" hidden="false" customHeight="true" outlineLevel="0" collapsed="false">
      <c r="A640" s="2"/>
      <c r="B640" s="44"/>
      <c r="C640" s="44"/>
      <c r="D640" s="4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9"/>
    </row>
    <row r="641" customFormat="false" ht="48.75" hidden="false" customHeight="true" outlineLevel="0" collapsed="false">
      <c r="A641" s="2"/>
      <c r="B641" s="44"/>
      <c r="C641" s="44"/>
      <c r="D641" s="4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9"/>
    </row>
    <row r="642" customFormat="false" ht="48.75" hidden="false" customHeight="true" outlineLevel="0" collapsed="false">
      <c r="A642" s="2"/>
      <c r="B642" s="44"/>
      <c r="C642" s="44"/>
      <c r="D642" s="4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9"/>
    </row>
    <row r="643" customFormat="false" ht="48.75" hidden="false" customHeight="true" outlineLevel="0" collapsed="false">
      <c r="A643" s="2"/>
      <c r="B643" s="44"/>
      <c r="C643" s="44"/>
      <c r="D643" s="4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9"/>
    </row>
    <row r="644" customFormat="false" ht="48.75" hidden="false" customHeight="true" outlineLevel="0" collapsed="false">
      <c r="A644" s="2"/>
      <c r="B644" s="44"/>
      <c r="C644" s="44"/>
      <c r="D644" s="4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9"/>
    </row>
    <row r="645" customFormat="false" ht="48.75" hidden="false" customHeight="true" outlineLevel="0" collapsed="false">
      <c r="A645" s="2"/>
      <c r="B645" s="44"/>
      <c r="C645" s="44"/>
      <c r="D645" s="4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9"/>
    </row>
    <row r="646" customFormat="false" ht="48.75" hidden="false" customHeight="true" outlineLevel="0" collapsed="false">
      <c r="A646" s="2"/>
      <c r="B646" s="44"/>
      <c r="C646" s="44"/>
      <c r="D646" s="4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9"/>
    </row>
    <row r="647" customFormat="false" ht="48.75" hidden="false" customHeight="true" outlineLevel="0" collapsed="false">
      <c r="A647" s="2"/>
      <c r="B647" s="44"/>
      <c r="C647" s="44"/>
      <c r="D647" s="4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9"/>
    </row>
    <row r="648" customFormat="false" ht="48.75" hidden="false" customHeight="true" outlineLevel="0" collapsed="false">
      <c r="A648" s="2"/>
      <c r="B648" s="44"/>
      <c r="C648" s="44"/>
      <c r="D648" s="4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9"/>
    </row>
    <row r="649" customFormat="false" ht="48.75" hidden="false" customHeight="true" outlineLevel="0" collapsed="false">
      <c r="A649" s="2"/>
      <c r="B649" s="44"/>
      <c r="C649" s="44"/>
      <c r="D649" s="4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9"/>
    </row>
    <row r="650" customFormat="false" ht="48.75" hidden="false" customHeight="true" outlineLevel="0" collapsed="false">
      <c r="A650" s="2"/>
      <c r="B650" s="44"/>
      <c r="C650" s="44"/>
      <c r="D650" s="4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9"/>
    </row>
    <row r="651" customFormat="false" ht="48.75" hidden="false" customHeight="true" outlineLevel="0" collapsed="false">
      <c r="A651" s="2"/>
      <c r="B651" s="44"/>
      <c r="C651" s="44"/>
      <c r="D651" s="4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9"/>
    </row>
    <row r="652" customFormat="false" ht="48.75" hidden="false" customHeight="true" outlineLevel="0" collapsed="false">
      <c r="A652" s="2"/>
      <c r="B652" s="44"/>
      <c r="C652" s="44"/>
      <c r="D652" s="4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9"/>
    </row>
    <row r="653" customFormat="false" ht="48.75" hidden="false" customHeight="true" outlineLevel="0" collapsed="false">
      <c r="A653" s="2"/>
      <c r="B653" s="44"/>
      <c r="C653" s="44"/>
      <c r="D653" s="4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9"/>
    </row>
    <row r="654" customFormat="false" ht="48.75" hidden="false" customHeight="true" outlineLevel="0" collapsed="false">
      <c r="A654" s="2"/>
      <c r="B654" s="44"/>
      <c r="C654" s="44"/>
      <c r="D654" s="4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9"/>
    </row>
    <row r="655" customFormat="false" ht="48.75" hidden="false" customHeight="true" outlineLevel="0" collapsed="false">
      <c r="A655" s="2"/>
      <c r="B655" s="44"/>
      <c r="C655" s="44"/>
      <c r="D655" s="4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9"/>
    </row>
    <row r="656" customFormat="false" ht="48.75" hidden="false" customHeight="true" outlineLevel="0" collapsed="false">
      <c r="A656" s="2"/>
      <c r="B656" s="44"/>
      <c r="C656" s="44"/>
      <c r="D656" s="4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9"/>
    </row>
    <row r="657" customFormat="false" ht="48.75" hidden="false" customHeight="true" outlineLevel="0" collapsed="false">
      <c r="A657" s="2"/>
      <c r="B657" s="44"/>
      <c r="C657" s="44"/>
      <c r="D657" s="4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9"/>
    </row>
    <row r="658" customFormat="false" ht="48.75" hidden="false" customHeight="true" outlineLevel="0" collapsed="false">
      <c r="A658" s="2"/>
      <c r="B658" s="44"/>
      <c r="C658" s="44"/>
      <c r="D658" s="4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9"/>
    </row>
    <row r="659" customFormat="false" ht="48.75" hidden="false" customHeight="true" outlineLevel="0" collapsed="false">
      <c r="A659" s="2"/>
      <c r="B659" s="44"/>
      <c r="C659" s="44"/>
      <c r="D659" s="4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9"/>
    </row>
    <row r="660" customFormat="false" ht="48.75" hidden="false" customHeight="true" outlineLevel="0" collapsed="false">
      <c r="A660" s="2"/>
      <c r="B660" s="44"/>
      <c r="C660" s="44"/>
      <c r="D660" s="4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9"/>
    </row>
    <row r="661" customFormat="false" ht="48.75" hidden="false" customHeight="true" outlineLevel="0" collapsed="false">
      <c r="A661" s="2"/>
      <c r="B661" s="44"/>
      <c r="C661" s="44"/>
      <c r="D661" s="4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9"/>
    </row>
    <row r="662" customFormat="false" ht="48.75" hidden="false" customHeight="true" outlineLevel="0" collapsed="false">
      <c r="A662" s="2"/>
      <c r="B662" s="44"/>
      <c r="C662" s="44"/>
      <c r="D662" s="4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9"/>
    </row>
    <row r="663" customFormat="false" ht="48.75" hidden="false" customHeight="true" outlineLevel="0" collapsed="false">
      <c r="A663" s="2"/>
      <c r="B663" s="44"/>
      <c r="C663" s="44"/>
      <c r="D663" s="4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9"/>
    </row>
    <row r="664" customFormat="false" ht="48.75" hidden="false" customHeight="true" outlineLevel="0" collapsed="false">
      <c r="A664" s="2"/>
      <c r="B664" s="44"/>
      <c r="C664" s="44"/>
      <c r="D664" s="4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9"/>
    </row>
    <row r="665" customFormat="false" ht="48.75" hidden="false" customHeight="true" outlineLevel="0" collapsed="false">
      <c r="A665" s="2"/>
      <c r="B665" s="44"/>
      <c r="C665" s="44"/>
      <c r="D665" s="4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9"/>
    </row>
    <row r="666" customFormat="false" ht="48.75" hidden="false" customHeight="true" outlineLevel="0" collapsed="false">
      <c r="A666" s="2"/>
      <c r="B666" s="44"/>
      <c r="C666" s="44"/>
      <c r="D666" s="4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9"/>
    </row>
    <row r="667" customFormat="false" ht="48.75" hidden="false" customHeight="true" outlineLevel="0" collapsed="false">
      <c r="A667" s="2"/>
      <c r="B667" s="44"/>
      <c r="C667" s="44"/>
      <c r="D667" s="4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9"/>
    </row>
    <row r="668" customFormat="false" ht="48.75" hidden="false" customHeight="true" outlineLevel="0" collapsed="false">
      <c r="A668" s="2"/>
      <c r="B668" s="44"/>
      <c r="C668" s="44"/>
      <c r="D668" s="4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9"/>
    </row>
    <row r="669" customFormat="false" ht="48.75" hidden="false" customHeight="true" outlineLevel="0" collapsed="false">
      <c r="A669" s="2"/>
      <c r="B669" s="44"/>
      <c r="C669" s="44"/>
      <c r="D669" s="4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9"/>
    </row>
    <row r="670" customFormat="false" ht="48.75" hidden="false" customHeight="true" outlineLevel="0" collapsed="false">
      <c r="A670" s="2"/>
      <c r="B670" s="44"/>
      <c r="C670" s="44"/>
      <c r="D670" s="4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9"/>
    </row>
    <row r="671" customFormat="false" ht="48.75" hidden="false" customHeight="true" outlineLevel="0" collapsed="false">
      <c r="A671" s="2"/>
      <c r="B671" s="44"/>
      <c r="C671" s="44"/>
      <c r="D671" s="4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9"/>
    </row>
    <row r="672" customFormat="false" ht="48.75" hidden="false" customHeight="true" outlineLevel="0" collapsed="false">
      <c r="A672" s="2"/>
      <c r="B672" s="44"/>
      <c r="C672" s="44"/>
      <c r="D672" s="4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9"/>
    </row>
    <row r="673" customFormat="false" ht="48.75" hidden="false" customHeight="true" outlineLevel="0" collapsed="false">
      <c r="A673" s="2"/>
      <c r="B673" s="44"/>
      <c r="C673" s="44"/>
      <c r="D673" s="4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9"/>
    </row>
    <row r="674" customFormat="false" ht="48.75" hidden="false" customHeight="true" outlineLevel="0" collapsed="false">
      <c r="A674" s="2"/>
      <c r="B674" s="44"/>
      <c r="C674" s="44"/>
      <c r="D674" s="4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9"/>
    </row>
    <row r="675" customFormat="false" ht="48.75" hidden="false" customHeight="true" outlineLevel="0" collapsed="false">
      <c r="A675" s="2"/>
      <c r="B675" s="44"/>
      <c r="C675" s="44"/>
      <c r="D675" s="4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9"/>
    </row>
    <row r="676" customFormat="false" ht="48.75" hidden="false" customHeight="true" outlineLevel="0" collapsed="false">
      <c r="A676" s="2"/>
      <c r="B676" s="44"/>
      <c r="C676" s="44"/>
      <c r="D676" s="4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9"/>
    </row>
    <row r="677" customFormat="false" ht="48.75" hidden="false" customHeight="true" outlineLevel="0" collapsed="false">
      <c r="A677" s="2"/>
      <c r="B677" s="44"/>
      <c r="C677" s="44"/>
      <c r="D677" s="4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9"/>
    </row>
    <row r="678" customFormat="false" ht="48.75" hidden="false" customHeight="true" outlineLevel="0" collapsed="false">
      <c r="A678" s="2"/>
      <c r="B678" s="44"/>
      <c r="C678" s="44"/>
      <c r="D678" s="4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9"/>
    </row>
    <row r="679" customFormat="false" ht="48.75" hidden="false" customHeight="true" outlineLevel="0" collapsed="false">
      <c r="A679" s="2"/>
      <c r="B679" s="44"/>
      <c r="C679" s="44"/>
      <c r="D679" s="4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9"/>
    </row>
    <row r="680" customFormat="false" ht="48.75" hidden="false" customHeight="true" outlineLevel="0" collapsed="false">
      <c r="A680" s="2"/>
      <c r="B680" s="44"/>
      <c r="C680" s="44"/>
      <c r="D680" s="4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9"/>
    </row>
    <row r="681" customFormat="false" ht="48.75" hidden="false" customHeight="true" outlineLevel="0" collapsed="false">
      <c r="A681" s="2"/>
      <c r="B681" s="44"/>
      <c r="C681" s="44"/>
      <c r="D681" s="4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9"/>
    </row>
    <row r="682" customFormat="false" ht="48.75" hidden="false" customHeight="true" outlineLevel="0" collapsed="false">
      <c r="A682" s="2"/>
      <c r="B682" s="44"/>
      <c r="C682" s="44"/>
      <c r="D682" s="4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9"/>
    </row>
    <row r="683" customFormat="false" ht="48.75" hidden="false" customHeight="true" outlineLevel="0" collapsed="false">
      <c r="A683" s="2"/>
      <c r="B683" s="44"/>
      <c r="C683" s="44"/>
      <c r="D683" s="4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9"/>
    </row>
    <row r="684" customFormat="false" ht="48.75" hidden="false" customHeight="true" outlineLevel="0" collapsed="false">
      <c r="A684" s="2"/>
      <c r="B684" s="44"/>
      <c r="C684" s="44"/>
      <c r="D684" s="4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9"/>
    </row>
    <row r="685" customFormat="false" ht="48.75" hidden="false" customHeight="true" outlineLevel="0" collapsed="false">
      <c r="A685" s="2"/>
      <c r="B685" s="44"/>
      <c r="C685" s="44"/>
      <c r="D685" s="4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9"/>
    </row>
    <row r="686" customFormat="false" ht="48.75" hidden="false" customHeight="true" outlineLevel="0" collapsed="false">
      <c r="A686" s="2"/>
      <c r="B686" s="44"/>
      <c r="C686" s="44"/>
      <c r="D686" s="4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9"/>
    </row>
    <row r="687" customFormat="false" ht="48.75" hidden="false" customHeight="true" outlineLevel="0" collapsed="false">
      <c r="A687" s="2"/>
      <c r="B687" s="44"/>
      <c r="C687" s="44"/>
      <c r="D687" s="4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9"/>
    </row>
    <row r="688" customFormat="false" ht="48.75" hidden="false" customHeight="true" outlineLevel="0" collapsed="false">
      <c r="A688" s="2"/>
      <c r="B688" s="44"/>
      <c r="C688" s="44"/>
      <c r="D688" s="4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9"/>
    </row>
    <row r="689" customFormat="false" ht="48.75" hidden="false" customHeight="true" outlineLevel="0" collapsed="false">
      <c r="A689" s="2"/>
      <c r="B689" s="44"/>
      <c r="C689" s="44"/>
      <c r="D689" s="4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9"/>
    </row>
    <row r="690" customFormat="false" ht="48.75" hidden="false" customHeight="true" outlineLevel="0" collapsed="false">
      <c r="A690" s="2"/>
      <c r="B690" s="44"/>
      <c r="C690" s="44"/>
      <c r="D690" s="4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9"/>
    </row>
    <row r="691" customFormat="false" ht="48.75" hidden="false" customHeight="true" outlineLevel="0" collapsed="false">
      <c r="A691" s="2"/>
      <c r="B691" s="44"/>
      <c r="C691" s="44"/>
      <c r="D691" s="4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9"/>
    </row>
    <row r="692" customFormat="false" ht="48.75" hidden="false" customHeight="true" outlineLevel="0" collapsed="false">
      <c r="A692" s="2"/>
      <c r="B692" s="44"/>
      <c r="C692" s="44"/>
      <c r="D692" s="4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9"/>
    </row>
    <row r="693" customFormat="false" ht="48.75" hidden="false" customHeight="true" outlineLevel="0" collapsed="false">
      <c r="A693" s="2"/>
      <c r="B693" s="44"/>
      <c r="C693" s="44"/>
      <c r="D693" s="4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9"/>
    </row>
    <row r="694" customFormat="false" ht="48.75" hidden="false" customHeight="true" outlineLevel="0" collapsed="false">
      <c r="A694" s="2"/>
      <c r="B694" s="44"/>
      <c r="C694" s="44"/>
      <c r="D694" s="4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9"/>
    </row>
    <row r="695" customFormat="false" ht="48.75" hidden="false" customHeight="true" outlineLevel="0" collapsed="false">
      <c r="A695" s="2"/>
      <c r="B695" s="44"/>
      <c r="C695" s="44"/>
      <c r="D695" s="4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9"/>
    </row>
    <row r="696" customFormat="false" ht="48.75" hidden="false" customHeight="true" outlineLevel="0" collapsed="false">
      <c r="A696" s="2"/>
      <c r="B696" s="44"/>
      <c r="C696" s="44"/>
      <c r="D696" s="4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9"/>
    </row>
    <row r="697" customFormat="false" ht="48.75" hidden="false" customHeight="true" outlineLevel="0" collapsed="false">
      <c r="A697" s="2"/>
      <c r="B697" s="44"/>
      <c r="C697" s="44"/>
      <c r="D697" s="4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9"/>
    </row>
    <row r="698" customFormat="false" ht="48.75" hidden="false" customHeight="true" outlineLevel="0" collapsed="false">
      <c r="A698" s="2"/>
      <c r="B698" s="44"/>
      <c r="C698" s="44"/>
      <c r="D698" s="4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9"/>
    </row>
    <row r="699" customFormat="false" ht="48.75" hidden="false" customHeight="true" outlineLevel="0" collapsed="false">
      <c r="A699" s="2"/>
      <c r="B699" s="44"/>
      <c r="C699" s="44"/>
      <c r="D699" s="4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9"/>
    </row>
    <row r="700" customFormat="false" ht="48.75" hidden="false" customHeight="true" outlineLevel="0" collapsed="false">
      <c r="A700" s="2"/>
      <c r="B700" s="44"/>
      <c r="C700" s="44"/>
      <c r="D700" s="4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9"/>
    </row>
    <row r="701" customFormat="false" ht="48.75" hidden="false" customHeight="true" outlineLevel="0" collapsed="false">
      <c r="A701" s="2"/>
      <c r="B701" s="44"/>
      <c r="C701" s="44"/>
      <c r="D701" s="4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9"/>
    </row>
    <row r="702" customFormat="false" ht="48.75" hidden="false" customHeight="true" outlineLevel="0" collapsed="false">
      <c r="A702" s="2"/>
      <c r="B702" s="44"/>
      <c r="C702" s="44"/>
      <c r="D702" s="4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9"/>
    </row>
    <row r="703" customFormat="false" ht="48.75" hidden="false" customHeight="true" outlineLevel="0" collapsed="false">
      <c r="A703" s="2"/>
      <c r="B703" s="44"/>
      <c r="C703" s="44"/>
      <c r="D703" s="4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9"/>
    </row>
    <row r="704" customFormat="false" ht="48.75" hidden="false" customHeight="true" outlineLevel="0" collapsed="false">
      <c r="A704" s="2"/>
      <c r="B704" s="44"/>
      <c r="C704" s="44"/>
      <c r="D704" s="4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9"/>
    </row>
    <row r="705" customFormat="false" ht="48.75" hidden="false" customHeight="true" outlineLevel="0" collapsed="false">
      <c r="A705" s="2"/>
      <c r="B705" s="44"/>
      <c r="C705" s="44"/>
      <c r="D705" s="4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9"/>
    </row>
    <row r="706" customFormat="false" ht="48.75" hidden="false" customHeight="true" outlineLevel="0" collapsed="false">
      <c r="A706" s="2"/>
      <c r="B706" s="44"/>
      <c r="C706" s="44"/>
      <c r="D706" s="4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9"/>
    </row>
    <row r="707" customFormat="false" ht="48.75" hidden="false" customHeight="true" outlineLevel="0" collapsed="false">
      <c r="A707" s="2"/>
      <c r="B707" s="44"/>
      <c r="C707" s="44"/>
      <c r="D707" s="4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9"/>
    </row>
    <row r="708" customFormat="false" ht="48.75" hidden="false" customHeight="true" outlineLevel="0" collapsed="false">
      <c r="A708" s="2"/>
      <c r="B708" s="44"/>
      <c r="C708" s="44"/>
      <c r="D708" s="4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9"/>
    </row>
    <row r="709" customFormat="false" ht="48.75" hidden="false" customHeight="true" outlineLevel="0" collapsed="false">
      <c r="A709" s="2"/>
      <c r="B709" s="44"/>
      <c r="C709" s="44"/>
      <c r="D709" s="4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9"/>
    </row>
    <row r="710" customFormat="false" ht="48.75" hidden="false" customHeight="true" outlineLevel="0" collapsed="false">
      <c r="A710" s="2"/>
      <c r="B710" s="44"/>
      <c r="C710" s="44"/>
      <c r="D710" s="4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9"/>
    </row>
    <row r="711" customFormat="false" ht="48.75" hidden="false" customHeight="true" outlineLevel="0" collapsed="false">
      <c r="A711" s="2"/>
      <c r="B711" s="44"/>
      <c r="C711" s="44"/>
      <c r="D711" s="4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9"/>
    </row>
    <row r="712" customFormat="false" ht="48.75" hidden="false" customHeight="true" outlineLevel="0" collapsed="false">
      <c r="A712" s="2"/>
      <c r="B712" s="44"/>
      <c r="C712" s="44"/>
      <c r="D712" s="4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9"/>
    </row>
    <row r="713" customFormat="false" ht="48.75" hidden="false" customHeight="true" outlineLevel="0" collapsed="false">
      <c r="A713" s="2"/>
      <c r="B713" s="44"/>
      <c r="C713" s="44"/>
      <c r="D713" s="4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9"/>
    </row>
    <row r="714" customFormat="false" ht="48.75" hidden="false" customHeight="true" outlineLevel="0" collapsed="false">
      <c r="A714" s="2"/>
      <c r="B714" s="44"/>
      <c r="C714" s="44"/>
      <c r="D714" s="4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9"/>
    </row>
    <row r="715" customFormat="false" ht="48.75" hidden="false" customHeight="true" outlineLevel="0" collapsed="false">
      <c r="A715" s="2"/>
      <c r="B715" s="44"/>
      <c r="C715" s="44"/>
      <c r="D715" s="4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9"/>
    </row>
    <row r="716" customFormat="false" ht="48.75" hidden="false" customHeight="true" outlineLevel="0" collapsed="false">
      <c r="A716" s="2"/>
      <c r="B716" s="44"/>
      <c r="C716" s="44"/>
      <c r="D716" s="4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9"/>
    </row>
    <row r="717" customFormat="false" ht="48.75" hidden="false" customHeight="true" outlineLevel="0" collapsed="false">
      <c r="A717" s="2"/>
      <c r="B717" s="44"/>
      <c r="C717" s="44"/>
      <c r="D717" s="4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9"/>
    </row>
    <row r="718" customFormat="false" ht="48.75" hidden="false" customHeight="true" outlineLevel="0" collapsed="false">
      <c r="A718" s="2"/>
      <c r="B718" s="44"/>
      <c r="C718" s="44"/>
      <c r="D718" s="4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9"/>
    </row>
    <row r="719" customFormat="false" ht="48.75" hidden="false" customHeight="true" outlineLevel="0" collapsed="false">
      <c r="A719" s="2"/>
      <c r="B719" s="44"/>
      <c r="C719" s="44"/>
      <c r="D719" s="4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9"/>
    </row>
    <row r="720" customFormat="false" ht="48.75" hidden="false" customHeight="true" outlineLevel="0" collapsed="false">
      <c r="A720" s="2"/>
      <c r="B720" s="44"/>
      <c r="C720" s="44"/>
      <c r="D720" s="4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9"/>
    </row>
    <row r="721" customFormat="false" ht="48.75" hidden="false" customHeight="true" outlineLevel="0" collapsed="false">
      <c r="A721" s="2"/>
      <c r="B721" s="44"/>
      <c r="C721" s="44"/>
      <c r="D721" s="4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9"/>
    </row>
    <row r="722" customFormat="false" ht="48.75" hidden="false" customHeight="true" outlineLevel="0" collapsed="false">
      <c r="A722" s="2"/>
      <c r="B722" s="44"/>
      <c r="C722" s="44"/>
      <c r="D722" s="4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9"/>
    </row>
    <row r="723" customFormat="false" ht="48.75" hidden="false" customHeight="true" outlineLevel="0" collapsed="false">
      <c r="A723" s="2"/>
      <c r="B723" s="44"/>
      <c r="C723" s="44"/>
      <c r="D723" s="4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9"/>
    </row>
    <row r="724" customFormat="false" ht="48.75" hidden="false" customHeight="true" outlineLevel="0" collapsed="false">
      <c r="A724" s="2"/>
      <c r="B724" s="44"/>
      <c r="C724" s="44"/>
      <c r="D724" s="4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9"/>
    </row>
    <row r="725" customFormat="false" ht="48.75" hidden="false" customHeight="true" outlineLevel="0" collapsed="false">
      <c r="A725" s="2"/>
      <c r="B725" s="44"/>
      <c r="C725" s="44"/>
      <c r="D725" s="4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9"/>
    </row>
    <row r="726" customFormat="false" ht="48.75" hidden="false" customHeight="true" outlineLevel="0" collapsed="false">
      <c r="A726" s="2"/>
      <c r="B726" s="44"/>
      <c r="C726" s="44"/>
      <c r="D726" s="4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9"/>
    </row>
    <row r="727" customFormat="false" ht="48.75" hidden="false" customHeight="true" outlineLevel="0" collapsed="false">
      <c r="A727" s="2"/>
      <c r="B727" s="44"/>
      <c r="C727" s="44"/>
      <c r="D727" s="4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9"/>
    </row>
    <row r="728" customFormat="false" ht="48.75" hidden="false" customHeight="true" outlineLevel="0" collapsed="false">
      <c r="A728" s="2"/>
      <c r="B728" s="44"/>
      <c r="C728" s="44"/>
      <c r="D728" s="4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9"/>
    </row>
    <row r="729" customFormat="false" ht="48.75" hidden="false" customHeight="true" outlineLevel="0" collapsed="false">
      <c r="A729" s="2"/>
      <c r="B729" s="44"/>
      <c r="C729" s="44"/>
      <c r="D729" s="4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9"/>
    </row>
    <row r="730" customFormat="false" ht="48.75" hidden="false" customHeight="true" outlineLevel="0" collapsed="false">
      <c r="A730" s="2"/>
      <c r="B730" s="44"/>
      <c r="C730" s="44"/>
      <c r="D730" s="4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9"/>
    </row>
    <row r="731" customFormat="false" ht="48.75" hidden="false" customHeight="true" outlineLevel="0" collapsed="false">
      <c r="A731" s="2"/>
      <c r="B731" s="44"/>
      <c r="C731" s="44"/>
      <c r="D731" s="4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9"/>
    </row>
    <row r="732" customFormat="false" ht="48.75" hidden="false" customHeight="true" outlineLevel="0" collapsed="false">
      <c r="A732" s="2"/>
      <c r="B732" s="44"/>
      <c r="C732" s="44"/>
      <c r="D732" s="4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9"/>
    </row>
    <row r="733" customFormat="false" ht="48.75" hidden="false" customHeight="true" outlineLevel="0" collapsed="false">
      <c r="A733" s="2"/>
      <c r="B733" s="44"/>
      <c r="C733" s="44"/>
      <c r="D733" s="4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9"/>
    </row>
    <row r="734" customFormat="false" ht="48.75" hidden="false" customHeight="true" outlineLevel="0" collapsed="false">
      <c r="A734" s="2"/>
      <c r="B734" s="44"/>
      <c r="C734" s="44"/>
      <c r="D734" s="4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9"/>
    </row>
    <row r="735" customFormat="false" ht="48.75" hidden="false" customHeight="true" outlineLevel="0" collapsed="false">
      <c r="A735" s="2"/>
      <c r="B735" s="44"/>
      <c r="C735" s="44"/>
      <c r="D735" s="4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9"/>
    </row>
    <row r="736" customFormat="false" ht="48.75" hidden="false" customHeight="true" outlineLevel="0" collapsed="false">
      <c r="A736" s="2"/>
      <c r="B736" s="44"/>
      <c r="C736" s="44"/>
      <c r="D736" s="4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9"/>
    </row>
    <row r="737" customFormat="false" ht="48.75" hidden="false" customHeight="true" outlineLevel="0" collapsed="false">
      <c r="A737" s="2"/>
      <c r="B737" s="44"/>
      <c r="C737" s="44"/>
      <c r="D737" s="4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9"/>
    </row>
    <row r="738" customFormat="false" ht="48.75" hidden="false" customHeight="true" outlineLevel="0" collapsed="false">
      <c r="A738" s="2"/>
      <c r="B738" s="44"/>
      <c r="C738" s="44"/>
      <c r="D738" s="4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9"/>
    </row>
    <row r="739" customFormat="false" ht="48.75" hidden="false" customHeight="true" outlineLevel="0" collapsed="false">
      <c r="A739" s="2"/>
      <c r="B739" s="44"/>
      <c r="C739" s="44"/>
      <c r="D739" s="4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9"/>
    </row>
    <row r="740" customFormat="false" ht="48.75" hidden="false" customHeight="true" outlineLevel="0" collapsed="false">
      <c r="A740" s="2"/>
      <c r="B740" s="44"/>
      <c r="C740" s="44"/>
      <c r="D740" s="4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9"/>
    </row>
    <row r="741" customFormat="false" ht="48.75" hidden="false" customHeight="true" outlineLevel="0" collapsed="false">
      <c r="A741" s="2"/>
      <c r="B741" s="44"/>
      <c r="C741" s="44"/>
      <c r="D741" s="4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9"/>
    </row>
    <row r="742" customFormat="false" ht="48.75" hidden="false" customHeight="true" outlineLevel="0" collapsed="false">
      <c r="A742" s="2"/>
      <c r="B742" s="44"/>
      <c r="C742" s="44"/>
      <c r="D742" s="4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9"/>
    </row>
    <row r="743" customFormat="false" ht="48.75" hidden="false" customHeight="true" outlineLevel="0" collapsed="false">
      <c r="A743" s="2"/>
      <c r="B743" s="44"/>
      <c r="C743" s="44"/>
      <c r="D743" s="4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9"/>
    </row>
    <row r="744" customFormat="false" ht="48.75" hidden="false" customHeight="true" outlineLevel="0" collapsed="false">
      <c r="A744" s="2"/>
      <c r="B744" s="44"/>
      <c r="C744" s="44"/>
      <c r="D744" s="4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9"/>
    </row>
    <row r="745" customFormat="false" ht="48.75" hidden="false" customHeight="true" outlineLevel="0" collapsed="false">
      <c r="A745" s="2"/>
      <c r="B745" s="44"/>
      <c r="C745" s="44"/>
      <c r="D745" s="4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9"/>
    </row>
    <row r="746" customFormat="false" ht="48.75" hidden="false" customHeight="true" outlineLevel="0" collapsed="false">
      <c r="A746" s="2"/>
      <c r="B746" s="44"/>
      <c r="C746" s="44"/>
      <c r="D746" s="4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9"/>
    </row>
    <row r="747" customFormat="false" ht="48.75" hidden="false" customHeight="true" outlineLevel="0" collapsed="false">
      <c r="A747" s="2"/>
      <c r="B747" s="44"/>
      <c r="C747" s="44"/>
      <c r="D747" s="4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9"/>
    </row>
    <row r="748" customFormat="false" ht="48.75" hidden="false" customHeight="true" outlineLevel="0" collapsed="false">
      <c r="A748" s="2"/>
      <c r="B748" s="44"/>
      <c r="C748" s="44"/>
      <c r="D748" s="4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9"/>
    </row>
    <row r="749" customFormat="false" ht="48.75" hidden="false" customHeight="true" outlineLevel="0" collapsed="false">
      <c r="A749" s="2"/>
      <c r="B749" s="44"/>
      <c r="C749" s="44"/>
      <c r="D749" s="4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9"/>
    </row>
    <row r="750" customFormat="false" ht="48.75" hidden="false" customHeight="true" outlineLevel="0" collapsed="false">
      <c r="A750" s="2"/>
      <c r="B750" s="44"/>
      <c r="C750" s="44"/>
      <c r="D750" s="4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9"/>
    </row>
    <row r="751" customFormat="false" ht="48.75" hidden="false" customHeight="true" outlineLevel="0" collapsed="false">
      <c r="A751" s="2"/>
      <c r="B751" s="44"/>
      <c r="C751" s="44"/>
      <c r="D751" s="4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9"/>
    </row>
    <row r="752" customFormat="false" ht="48.75" hidden="false" customHeight="true" outlineLevel="0" collapsed="false">
      <c r="A752" s="2"/>
      <c r="B752" s="44"/>
      <c r="C752" s="44"/>
      <c r="D752" s="4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9"/>
    </row>
    <row r="753" customFormat="false" ht="48.75" hidden="false" customHeight="true" outlineLevel="0" collapsed="false">
      <c r="A753" s="2"/>
      <c r="B753" s="44"/>
      <c r="C753" s="44"/>
      <c r="D753" s="4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9"/>
    </row>
    <row r="754" customFormat="false" ht="48.75" hidden="false" customHeight="true" outlineLevel="0" collapsed="false">
      <c r="A754" s="2"/>
      <c r="B754" s="44"/>
      <c r="C754" s="44"/>
      <c r="D754" s="4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9"/>
    </row>
    <row r="755" customFormat="false" ht="48.75" hidden="false" customHeight="true" outlineLevel="0" collapsed="false">
      <c r="A755" s="2"/>
      <c r="B755" s="44"/>
      <c r="C755" s="44"/>
      <c r="D755" s="4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9"/>
    </row>
    <row r="756" customFormat="false" ht="48.75" hidden="false" customHeight="true" outlineLevel="0" collapsed="false">
      <c r="A756" s="2"/>
      <c r="B756" s="44"/>
      <c r="C756" s="44"/>
      <c r="D756" s="4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9"/>
    </row>
    <row r="757" customFormat="false" ht="48.75" hidden="false" customHeight="true" outlineLevel="0" collapsed="false">
      <c r="A757" s="2"/>
      <c r="B757" s="44"/>
      <c r="C757" s="44"/>
      <c r="D757" s="4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9"/>
    </row>
    <row r="758" customFormat="false" ht="48.75" hidden="false" customHeight="true" outlineLevel="0" collapsed="false">
      <c r="A758" s="2"/>
      <c r="B758" s="44"/>
      <c r="C758" s="44"/>
      <c r="D758" s="4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9"/>
    </row>
    <row r="759" customFormat="false" ht="48.75" hidden="false" customHeight="true" outlineLevel="0" collapsed="false">
      <c r="A759" s="2"/>
      <c r="B759" s="44"/>
      <c r="C759" s="44"/>
      <c r="D759" s="4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9"/>
    </row>
    <row r="760" customFormat="false" ht="48.75" hidden="false" customHeight="true" outlineLevel="0" collapsed="false">
      <c r="A760" s="2"/>
      <c r="B760" s="44"/>
      <c r="C760" s="44"/>
      <c r="D760" s="4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9"/>
    </row>
    <row r="761" customFormat="false" ht="48.75" hidden="false" customHeight="true" outlineLevel="0" collapsed="false">
      <c r="A761" s="2"/>
      <c r="B761" s="44"/>
      <c r="C761" s="44"/>
      <c r="D761" s="4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9"/>
    </row>
    <row r="762" customFormat="false" ht="48.75" hidden="false" customHeight="true" outlineLevel="0" collapsed="false">
      <c r="A762" s="2"/>
      <c r="B762" s="44"/>
      <c r="C762" s="44"/>
      <c r="D762" s="4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9"/>
    </row>
    <row r="763" customFormat="false" ht="48.75" hidden="false" customHeight="true" outlineLevel="0" collapsed="false">
      <c r="A763" s="2"/>
      <c r="B763" s="44"/>
      <c r="C763" s="44"/>
      <c r="D763" s="4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9"/>
    </row>
    <row r="764" customFormat="false" ht="48.75" hidden="false" customHeight="true" outlineLevel="0" collapsed="false">
      <c r="A764" s="2"/>
      <c r="B764" s="44"/>
      <c r="C764" s="44"/>
      <c r="D764" s="4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9"/>
    </row>
    <row r="765" customFormat="false" ht="48.75" hidden="false" customHeight="true" outlineLevel="0" collapsed="false">
      <c r="A765" s="2"/>
      <c r="B765" s="44"/>
      <c r="C765" s="44"/>
      <c r="D765" s="4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9"/>
    </row>
    <row r="766" customFormat="false" ht="48.75" hidden="false" customHeight="true" outlineLevel="0" collapsed="false">
      <c r="A766" s="2"/>
      <c r="B766" s="44"/>
      <c r="C766" s="44"/>
      <c r="D766" s="4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9"/>
    </row>
    <row r="767" customFormat="false" ht="48.75" hidden="false" customHeight="true" outlineLevel="0" collapsed="false">
      <c r="A767" s="2"/>
      <c r="B767" s="44"/>
      <c r="C767" s="44"/>
      <c r="D767" s="4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9"/>
    </row>
    <row r="768" customFormat="false" ht="48.75" hidden="false" customHeight="true" outlineLevel="0" collapsed="false">
      <c r="A768" s="2"/>
      <c r="B768" s="44"/>
      <c r="C768" s="44"/>
      <c r="D768" s="4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9"/>
    </row>
    <row r="769" customFormat="false" ht="48.75" hidden="false" customHeight="true" outlineLevel="0" collapsed="false">
      <c r="A769" s="2"/>
      <c r="B769" s="44"/>
      <c r="C769" s="44"/>
      <c r="D769" s="4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9"/>
    </row>
    <row r="770" customFormat="false" ht="48.75" hidden="false" customHeight="true" outlineLevel="0" collapsed="false">
      <c r="A770" s="2"/>
      <c r="B770" s="44"/>
      <c r="C770" s="44"/>
      <c r="D770" s="4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9"/>
    </row>
    <row r="771" customFormat="false" ht="48.75" hidden="false" customHeight="true" outlineLevel="0" collapsed="false">
      <c r="A771" s="2"/>
      <c r="B771" s="44"/>
      <c r="C771" s="44"/>
      <c r="D771" s="4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9"/>
    </row>
    <row r="772" customFormat="false" ht="48.75" hidden="false" customHeight="true" outlineLevel="0" collapsed="false">
      <c r="A772" s="2"/>
      <c r="B772" s="44"/>
      <c r="C772" s="44"/>
      <c r="D772" s="4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9"/>
    </row>
    <row r="773" customFormat="false" ht="48.75" hidden="false" customHeight="true" outlineLevel="0" collapsed="false">
      <c r="A773" s="2"/>
      <c r="B773" s="44"/>
      <c r="C773" s="44"/>
      <c r="D773" s="4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9"/>
    </row>
    <row r="774" customFormat="false" ht="48.75" hidden="false" customHeight="true" outlineLevel="0" collapsed="false">
      <c r="A774" s="2"/>
      <c r="B774" s="44"/>
      <c r="C774" s="44"/>
      <c r="D774" s="4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9"/>
    </row>
    <row r="775" customFormat="false" ht="48.75" hidden="false" customHeight="true" outlineLevel="0" collapsed="false">
      <c r="A775" s="2"/>
      <c r="B775" s="44"/>
      <c r="C775" s="44"/>
      <c r="D775" s="4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9"/>
    </row>
    <row r="776" customFormat="false" ht="48.75" hidden="false" customHeight="true" outlineLevel="0" collapsed="false">
      <c r="A776" s="2"/>
      <c r="B776" s="44"/>
      <c r="C776" s="44"/>
      <c r="D776" s="4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9"/>
    </row>
    <row r="777" customFormat="false" ht="48.75" hidden="false" customHeight="true" outlineLevel="0" collapsed="false">
      <c r="A777" s="2"/>
      <c r="B777" s="44"/>
      <c r="C777" s="44"/>
      <c r="D777" s="4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9"/>
    </row>
    <row r="778" customFormat="false" ht="48.75" hidden="false" customHeight="true" outlineLevel="0" collapsed="false">
      <c r="A778" s="2"/>
      <c r="B778" s="44"/>
      <c r="C778" s="44"/>
      <c r="D778" s="4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9"/>
    </row>
    <row r="779" customFormat="false" ht="48.75" hidden="false" customHeight="true" outlineLevel="0" collapsed="false">
      <c r="A779" s="2"/>
      <c r="B779" s="44"/>
      <c r="C779" s="44"/>
      <c r="D779" s="4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9"/>
    </row>
    <row r="780" customFormat="false" ht="48.75" hidden="false" customHeight="true" outlineLevel="0" collapsed="false">
      <c r="A780" s="2"/>
      <c r="B780" s="44"/>
      <c r="C780" s="44"/>
      <c r="D780" s="4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9"/>
    </row>
    <row r="781" customFormat="false" ht="48.75" hidden="false" customHeight="true" outlineLevel="0" collapsed="false">
      <c r="A781" s="2"/>
      <c r="B781" s="44"/>
      <c r="C781" s="44"/>
      <c r="D781" s="4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9"/>
    </row>
    <row r="782" customFormat="false" ht="48.75" hidden="false" customHeight="true" outlineLevel="0" collapsed="false">
      <c r="A782" s="2"/>
      <c r="B782" s="44"/>
      <c r="C782" s="44"/>
      <c r="D782" s="4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9"/>
    </row>
    <row r="783" customFormat="false" ht="48.75" hidden="false" customHeight="true" outlineLevel="0" collapsed="false">
      <c r="A783" s="2"/>
      <c r="B783" s="44"/>
      <c r="C783" s="44"/>
      <c r="D783" s="4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9"/>
    </row>
    <row r="784" customFormat="false" ht="48.75" hidden="false" customHeight="true" outlineLevel="0" collapsed="false">
      <c r="A784" s="2"/>
      <c r="B784" s="44"/>
      <c r="C784" s="44"/>
      <c r="D784" s="4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9"/>
    </row>
    <row r="785" customFormat="false" ht="48.75" hidden="false" customHeight="true" outlineLevel="0" collapsed="false">
      <c r="A785" s="2"/>
      <c r="B785" s="44"/>
      <c r="C785" s="44"/>
      <c r="D785" s="4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9"/>
    </row>
    <row r="786" customFormat="false" ht="48.75" hidden="false" customHeight="true" outlineLevel="0" collapsed="false">
      <c r="A786" s="2"/>
      <c r="B786" s="44"/>
      <c r="C786" s="44"/>
      <c r="D786" s="4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9"/>
    </row>
    <row r="787" customFormat="false" ht="48.75" hidden="false" customHeight="true" outlineLevel="0" collapsed="false">
      <c r="A787" s="2"/>
      <c r="B787" s="44"/>
      <c r="C787" s="44"/>
      <c r="D787" s="4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9"/>
    </row>
    <row r="788" customFormat="false" ht="48.75" hidden="false" customHeight="true" outlineLevel="0" collapsed="false">
      <c r="A788" s="2"/>
      <c r="B788" s="44"/>
      <c r="C788" s="44"/>
      <c r="D788" s="4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9"/>
    </row>
    <row r="789" customFormat="false" ht="48.75" hidden="false" customHeight="true" outlineLevel="0" collapsed="false">
      <c r="A789" s="2"/>
      <c r="B789" s="44"/>
      <c r="C789" s="44"/>
      <c r="D789" s="4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9"/>
    </row>
    <row r="790" customFormat="false" ht="48.75" hidden="false" customHeight="true" outlineLevel="0" collapsed="false">
      <c r="A790" s="2"/>
      <c r="B790" s="44"/>
      <c r="C790" s="44"/>
      <c r="D790" s="4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9"/>
    </row>
    <row r="791" customFormat="false" ht="48.75" hidden="false" customHeight="true" outlineLevel="0" collapsed="false">
      <c r="A791" s="2"/>
      <c r="B791" s="44"/>
      <c r="C791" s="44"/>
      <c r="D791" s="4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9"/>
    </row>
    <row r="792" customFormat="false" ht="48.75" hidden="false" customHeight="true" outlineLevel="0" collapsed="false">
      <c r="A792" s="2"/>
      <c r="B792" s="44"/>
      <c r="C792" s="44"/>
      <c r="D792" s="4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9"/>
    </row>
    <row r="793" customFormat="false" ht="48.75" hidden="false" customHeight="true" outlineLevel="0" collapsed="false">
      <c r="A793" s="2"/>
      <c r="B793" s="44"/>
      <c r="C793" s="44"/>
      <c r="D793" s="4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9"/>
    </row>
    <row r="794" customFormat="false" ht="48.75" hidden="false" customHeight="true" outlineLevel="0" collapsed="false">
      <c r="A794" s="2"/>
      <c r="B794" s="44"/>
      <c r="C794" s="44"/>
      <c r="D794" s="4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9"/>
    </row>
    <row r="795" customFormat="false" ht="48.75" hidden="false" customHeight="true" outlineLevel="0" collapsed="false">
      <c r="A795" s="2"/>
      <c r="B795" s="44"/>
      <c r="C795" s="44"/>
      <c r="D795" s="4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9"/>
    </row>
    <row r="796" customFormat="false" ht="48.75" hidden="false" customHeight="true" outlineLevel="0" collapsed="false">
      <c r="A796" s="2"/>
      <c r="B796" s="44"/>
      <c r="C796" s="44"/>
      <c r="D796" s="4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9"/>
    </row>
    <row r="797" customFormat="false" ht="48.75" hidden="false" customHeight="true" outlineLevel="0" collapsed="false">
      <c r="A797" s="2"/>
      <c r="B797" s="44"/>
      <c r="C797" s="44"/>
      <c r="D797" s="4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9"/>
    </row>
    <row r="798" customFormat="false" ht="48.75" hidden="false" customHeight="true" outlineLevel="0" collapsed="false">
      <c r="A798" s="2"/>
      <c r="B798" s="44"/>
      <c r="C798" s="44"/>
      <c r="D798" s="4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9"/>
    </row>
    <row r="799" customFormat="false" ht="48.75" hidden="false" customHeight="true" outlineLevel="0" collapsed="false">
      <c r="A799" s="2"/>
      <c r="B799" s="44"/>
      <c r="C799" s="44"/>
      <c r="D799" s="4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9"/>
    </row>
    <row r="800" customFormat="false" ht="48.75" hidden="false" customHeight="true" outlineLevel="0" collapsed="false">
      <c r="A800" s="2"/>
      <c r="B800" s="44"/>
      <c r="C800" s="44"/>
      <c r="D800" s="4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9"/>
    </row>
    <row r="801" customFormat="false" ht="48.75" hidden="false" customHeight="true" outlineLevel="0" collapsed="false">
      <c r="A801" s="2"/>
      <c r="B801" s="44"/>
      <c r="C801" s="44"/>
      <c r="D801" s="4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9"/>
    </row>
    <row r="802" customFormat="false" ht="48.75" hidden="false" customHeight="true" outlineLevel="0" collapsed="false">
      <c r="A802" s="2"/>
      <c r="B802" s="44"/>
      <c r="C802" s="44"/>
      <c r="D802" s="4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9"/>
    </row>
    <row r="803" customFormat="false" ht="48.75" hidden="false" customHeight="true" outlineLevel="0" collapsed="false">
      <c r="A803" s="2"/>
      <c r="B803" s="44"/>
      <c r="C803" s="44"/>
      <c r="D803" s="4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9"/>
    </row>
    <row r="804" customFormat="false" ht="48.75" hidden="false" customHeight="true" outlineLevel="0" collapsed="false">
      <c r="A804" s="2"/>
      <c r="B804" s="44"/>
      <c r="C804" s="44"/>
      <c r="D804" s="4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9"/>
    </row>
    <row r="805" customFormat="false" ht="48.75" hidden="false" customHeight="true" outlineLevel="0" collapsed="false">
      <c r="A805" s="2"/>
      <c r="B805" s="44"/>
      <c r="C805" s="44"/>
      <c r="D805" s="4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9"/>
    </row>
    <row r="806" customFormat="false" ht="48.75" hidden="false" customHeight="true" outlineLevel="0" collapsed="false">
      <c r="A806" s="2"/>
      <c r="B806" s="44"/>
      <c r="C806" s="44"/>
      <c r="D806" s="4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9"/>
    </row>
    <row r="807" customFormat="false" ht="48.75" hidden="false" customHeight="true" outlineLevel="0" collapsed="false">
      <c r="A807" s="2"/>
      <c r="B807" s="44"/>
      <c r="C807" s="44"/>
      <c r="D807" s="4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9"/>
    </row>
    <row r="808" customFormat="false" ht="48.75" hidden="false" customHeight="true" outlineLevel="0" collapsed="false">
      <c r="A808" s="2"/>
      <c r="B808" s="44"/>
      <c r="C808" s="44"/>
      <c r="D808" s="4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9"/>
    </row>
    <row r="809" customFormat="false" ht="48.75" hidden="false" customHeight="true" outlineLevel="0" collapsed="false">
      <c r="A809" s="2"/>
      <c r="B809" s="44"/>
      <c r="C809" s="44"/>
      <c r="D809" s="4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9"/>
    </row>
    <row r="810" customFormat="false" ht="48.75" hidden="false" customHeight="true" outlineLevel="0" collapsed="false">
      <c r="A810" s="2"/>
      <c r="B810" s="44"/>
      <c r="C810" s="44"/>
      <c r="D810" s="4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9"/>
    </row>
    <row r="811" customFormat="false" ht="48.75" hidden="false" customHeight="true" outlineLevel="0" collapsed="false">
      <c r="A811" s="2"/>
      <c r="B811" s="44"/>
      <c r="C811" s="44"/>
      <c r="D811" s="4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9"/>
    </row>
    <row r="812" customFormat="false" ht="48.75" hidden="false" customHeight="true" outlineLevel="0" collapsed="false">
      <c r="A812" s="2"/>
      <c r="B812" s="44"/>
      <c r="C812" s="44"/>
      <c r="D812" s="4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9"/>
    </row>
    <row r="813" customFormat="false" ht="48.75" hidden="false" customHeight="true" outlineLevel="0" collapsed="false">
      <c r="A813" s="2"/>
      <c r="B813" s="44"/>
      <c r="C813" s="44"/>
      <c r="D813" s="4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9"/>
    </row>
    <row r="814" customFormat="false" ht="48.75" hidden="false" customHeight="true" outlineLevel="0" collapsed="false">
      <c r="A814" s="2"/>
      <c r="B814" s="44"/>
      <c r="C814" s="44"/>
      <c r="D814" s="4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9"/>
    </row>
    <row r="815" customFormat="false" ht="48.75" hidden="false" customHeight="true" outlineLevel="0" collapsed="false">
      <c r="A815" s="2"/>
      <c r="B815" s="44"/>
      <c r="C815" s="44"/>
      <c r="D815" s="4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9"/>
    </row>
    <row r="816" customFormat="false" ht="48.75" hidden="false" customHeight="true" outlineLevel="0" collapsed="false">
      <c r="A816" s="2"/>
      <c r="B816" s="44"/>
      <c r="C816" s="44"/>
      <c r="D816" s="4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9"/>
    </row>
    <row r="817" customFormat="false" ht="48.75" hidden="false" customHeight="true" outlineLevel="0" collapsed="false">
      <c r="A817" s="2"/>
      <c r="B817" s="44"/>
      <c r="C817" s="44"/>
      <c r="D817" s="4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9"/>
    </row>
    <row r="818" customFormat="false" ht="48.75" hidden="false" customHeight="true" outlineLevel="0" collapsed="false">
      <c r="A818" s="2"/>
      <c r="B818" s="44"/>
      <c r="C818" s="44"/>
      <c r="D818" s="4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9"/>
    </row>
    <row r="819" customFormat="false" ht="48.75" hidden="false" customHeight="true" outlineLevel="0" collapsed="false">
      <c r="A819" s="2"/>
      <c r="B819" s="44"/>
      <c r="C819" s="44"/>
      <c r="D819" s="4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9"/>
    </row>
    <row r="820" customFormat="false" ht="48.75" hidden="false" customHeight="true" outlineLevel="0" collapsed="false">
      <c r="A820" s="2"/>
      <c r="B820" s="44"/>
      <c r="C820" s="44"/>
      <c r="D820" s="4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9"/>
    </row>
    <row r="821" customFormat="false" ht="48.75" hidden="false" customHeight="true" outlineLevel="0" collapsed="false">
      <c r="A821" s="2"/>
      <c r="B821" s="44"/>
      <c r="C821" s="44"/>
      <c r="D821" s="4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9"/>
    </row>
    <row r="822" customFormat="false" ht="48.75" hidden="false" customHeight="true" outlineLevel="0" collapsed="false">
      <c r="A822" s="2"/>
      <c r="B822" s="44"/>
      <c r="C822" s="44"/>
      <c r="D822" s="4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9"/>
    </row>
    <row r="823" customFormat="false" ht="48.75" hidden="false" customHeight="true" outlineLevel="0" collapsed="false">
      <c r="A823" s="2"/>
      <c r="B823" s="44"/>
      <c r="C823" s="44"/>
      <c r="D823" s="4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9"/>
    </row>
    <row r="824" customFormat="false" ht="48.75" hidden="false" customHeight="true" outlineLevel="0" collapsed="false">
      <c r="A824" s="2"/>
      <c r="B824" s="44"/>
      <c r="C824" s="44"/>
      <c r="D824" s="4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9"/>
    </row>
    <row r="825" customFormat="false" ht="48.75" hidden="false" customHeight="true" outlineLevel="0" collapsed="false">
      <c r="A825" s="2"/>
      <c r="B825" s="44"/>
      <c r="C825" s="44"/>
      <c r="D825" s="4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9"/>
    </row>
    <row r="826" customFormat="false" ht="48.75" hidden="false" customHeight="true" outlineLevel="0" collapsed="false">
      <c r="A826" s="2"/>
      <c r="B826" s="44"/>
      <c r="C826" s="44"/>
      <c r="D826" s="4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9"/>
    </row>
    <row r="827" customFormat="false" ht="48.75" hidden="false" customHeight="true" outlineLevel="0" collapsed="false">
      <c r="A827" s="2"/>
      <c r="B827" s="44"/>
      <c r="C827" s="44"/>
      <c r="D827" s="4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9"/>
    </row>
    <row r="828" customFormat="false" ht="48.75" hidden="false" customHeight="true" outlineLevel="0" collapsed="false">
      <c r="A828" s="2"/>
      <c r="B828" s="44"/>
      <c r="C828" s="44"/>
      <c r="D828" s="4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9"/>
    </row>
    <row r="829" customFormat="false" ht="48.75" hidden="false" customHeight="true" outlineLevel="0" collapsed="false">
      <c r="A829" s="2"/>
      <c r="B829" s="44"/>
      <c r="C829" s="44"/>
      <c r="D829" s="4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9"/>
    </row>
    <row r="830" customFormat="false" ht="48.75" hidden="false" customHeight="true" outlineLevel="0" collapsed="false">
      <c r="A830" s="2"/>
      <c r="B830" s="44"/>
      <c r="C830" s="44"/>
      <c r="D830" s="4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9"/>
    </row>
    <row r="831" customFormat="false" ht="48.75" hidden="false" customHeight="true" outlineLevel="0" collapsed="false">
      <c r="A831" s="2"/>
      <c r="B831" s="44"/>
      <c r="C831" s="44"/>
      <c r="D831" s="4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9"/>
    </row>
    <row r="832" customFormat="false" ht="48.75" hidden="false" customHeight="true" outlineLevel="0" collapsed="false">
      <c r="A832" s="2"/>
      <c r="B832" s="44"/>
      <c r="C832" s="44"/>
      <c r="D832" s="4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9"/>
    </row>
    <row r="833" customFormat="false" ht="48.75" hidden="false" customHeight="true" outlineLevel="0" collapsed="false">
      <c r="A833" s="2"/>
      <c r="B833" s="44"/>
      <c r="C833" s="44"/>
      <c r="D833" s="4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9"/>
    </row>
    <row r="834" customFormat="false" ht="48.75" hidden="false" customHeight="true" outlineLevel="0" collapsed="false">
      <c r="A834" s="2"/>
      <c r="B834" s="44"/>
      <c r="C834" s="44"/>
      <c r="D834" s="4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9"/>
    </row>
    <row r="835" customFormat="false" ht="48.75" hidden="false" customHeight="true" outlineLevel="0" collapsed="false">
      <c r="A835" s="2"/>
      <c r="B835" s="44"/>
      <c r="C835" s="44"/>
      <c r="D835" s="4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9"/>
    </row>
    <row r="836" customFormat="false" ht="48.75" hidden="false" customHeight="true" outlineLevel="0" collapsed="false">
      <c r="A836" s="2"/>
      <c r="B836" s="44"/>
      <c r="C836" s="44"/>
      <c r="D836" s="4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9"/>
    </row>
    <row r="837" customFormat="false" ht="48.75" hidden="false" customHeight="true" outlineLevel="0" collapsed="false">
      <c r="A837" s="2"/>
      <c r="B837" s="44"/>
      <c r="C837" s="44"/>
      <c r="D837" s="4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9"/>
    </row>
    <row r="838" customFormat="false" ht="48.75" hidden="false" customHeight="true" outlineLevel="0" collapsed="false">
      <c r="A838" s="2"/>
      <c r="B838" s="44"/>
      <c r="C838" s="44"/>
      <c r="D838" s="4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9"/>
    </row>
    <row r="839" customFormat="false" ht="48.75" hidden="false" customHeight="true" outlineLevel="0" collapsed="false">
      <c r="A839" s="2"/>
      <c r="B839" s="44"/>
      <c r="C839" s="44"/>
      <c r="D839" s="4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9"/>
    </row>
    <row r="840" customFormat="false" ht="48.75" hidden="false" customHeight="true" outlineLevel="0" collapsed="false">
      <c r="A840" s="2"/>
      <c r="B840" s="44"/>
      <c r="C840" s="44"/>
      <c r="D840" s="4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9"/>
    </row>
    <row r="841" customFormat="false" ht="48.75" hidden="false" customHeight="true" outlineLevel="0" collapsed="false">
      <c r="A841" s="2"/>
      <c r="B841" s="44"/>
      <c r="C841" s="44"/>
      <c r="D841" s="4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9"/>
    </row>
    <row r="842" customFormat="false" ht="48.75" hidden="false" customHeight="true" outlineLevel="0" collapsed="false">
      <c r="A842" s="2"/>
      <c r="B842" s="44"/>
      <c r="C842" s="44"/>
      <c r="D842" s="4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9"/>
    </row>
    <row r="843" customFormat="false" ht="48.75" hidden="false" customHeight="true" outlineLevel="0" collapsed="false">
      <c r="A843" s="2"/>
      <c r="B843" s="44"/>
      <c r="C843" s="44"/>
      <c r="D843" s="4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9"/>
    </row>
    <row r="844" customFormat="false" ht="48.75" hidden="false" customHeight="true" outlineLevel="0" collapsed="false">
      <c r="A844" s="2"/>
      <c r="B844" s="44"/>
      <c r="C844" s="44"/>
      <c r="D844" s="4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9"/>
    </row>
    <row r="845" customFormat="false" ht="48.75" hidden="false" customHeight="true" outlineLevel="0" collapsed="false">
      <c r="A845" s="2"/>
      <c r="B845" s="44"/>
      <c r="C845" s="44"/>
      <c r="D845" s="4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9"/>
    </row>
    <row r="846" customFormat="false" ht="48.75" hidden="false" customHeight="true" outlineLevel="0" collapsed="false">
      <c r="A846" s="2"/>
      <c r="B846" s="44"/>
      <c r="C846" s="44"/>
      <c r="D846" s="4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9"/>
    </row>
    <row r="847" customFormat="false" ht="48.75" hidden="false" customHeight="true" outlineLevel="0" collapsed="false">
      <c r="A847" s="2"/>
      <c r="B847" s="44"/>
      <c r="C847" s="44"/>
      <c r="D847" s="4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9"/>
    </row>
    <row r="848" customFormat="false" ht="48.75" hidden="false" customHeight="true" outlineLevel="0" collapsed="false">
      <c r="A848" s="2"/>
      <c r="B848" s="44"/>
      <c r="C848" s="44"/>
      <c r="D848" s="4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9"/>
    </row>
    <row r="849" customFormat="false" ht="48.75" hidden="false" customHeight="true" outlineLevel="0" collapsed="false">
      <c r="A849" s="2"/>
      <c r="B849" s="44"/>
      <c r="C849" s="44"/>
      <c r="D849" s="4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9"/>
    </row>
    <row r="850" customFormat="false" ht="48.75" hidden="false" customHeight="true" outlineLevel="0" collapsed="false">
      <c r="A850" s="2"/>
      <c r="B850" s="44"/>
      <c r="C850" s="44"/>
      <c r="D850" s="4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9"/>
    </row>
    <row r="851" customFormat="false" ht="48.75" hidden="false" customHeight="true" outlineLevel="0" collapsed="false">
      <c r="A851" s="2"/>
      <c r="B851" s="44"/>
      <c r="C851" s="44"/>
      <c r="D851" s="4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9"/>
    </row>
    <row r="852" customFormat="false" ht="48.75" hidden="false" customHeight="true" outlineLevel="0" collapsed="false">
      <c r="A852" s="2"/>
      <c r="B852" s="44"/>
      <c r="C852" s="44"/>
      <c r="D852" s="4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9"/>
    </row>
    <row r="853" customFormat="false" ht="48.75" hidden="false" customHeight="true" outlineLevel="0" collapsed="false">
      <c r="A853" s="2"/>
      <c r="B853" s="44"/>
      <c r="C853" s="44"/>
      <c r="D853" s="4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9"/>
    </row>
    <row r="854" customFormat="false" ht="48.75" hidden="false" customHeight="true" outlineLevel="0" collapsed="false">
      <c r="A854" s="2"/>
      <c r="B854" s="44"/>
      <c r="C854" s="44"/>
      <c r="D854" s="4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9"/>
    </row>
    <row r="855" customFormat="false" ht="48.75" hidden="false" customHeight="true" outlineLevel="0" collapsed="false">
      <c r="A855" s="2"/>
      <c r="B855" s="44"/>
      <c r="C855" s="44"/>
      <c r="D855" s="4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9"/>
    </row>
    <row r="856" customFormat="false" ht="48.75" hidden="false" customHeight="true" outlineLevel="0" collapsed="false">
      <c r="A856" s="2"/>
      <c r="B856" s="44"/>
      <c r="C856" s="44"/>
      <c r="D856" s="4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9"/>
    </row>
    <row r="857" customFormat="false" ht="48.75" hidden="false" customHeight="true" outlineLevel="0" collapsed="false">
      <c r="A857" s="2"/>
      <c r="B857" s="44"/>
      <c r="C857" s="44"/>
      <c r="D857" s="4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9"/>
    </row>
    <row r="858" customFormat="false" ht="48.75" hidden="false" customHeight="true" outlineLevel="0" collapsed="false">
      <c r="A858" s="2"/>
      <c r="B858" s="44"/>
      <c r="C858" s="44"/>
      <c r="D858" s="4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9"/>
    </row>
    <row r="859" customFormat="false" ht="48.75" hidden="false" customHeight="true" outlineLevel="0" collapsed="false">
      <c r="A859" s="2"/>
      <c r="B859" s="44"/>
      <c r="C859" s="44"/>
      <c r="D859" s="4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9"/>
    </row>
    <row r="860" customFormat="false" ht="48.75" hidden="false" customHeight="true" outlineLevel="0" collapsed="false">
      <c r="A860" s="2"/>
      <c r="B860" s="44"/>
      <c r="C860" s="44"/>
      <c r="D860" s="4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9"/>
    </row>
    <row r="861" customFormat="false" ht="48.75" hidden="false" customHeight="true" outlineLevel="0" collapsed="false">
      <c r="A861" s="2"/>
      <c r="B861" s="44"/>
      <c r="C861" s="44"/>
      <c r="D861" s="4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9"/>
    </row>
    <row r="862" customFormat="false" ht="48.75" hidden="false" customHeight="true" outlineLevel="0" collapsed="false">
      <c r="A862" s="2"/>
      <c r="B862" s="44"/>
      <c r="C862" s="44"/>
      <c r="D862" s="4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9"/>
    </row>
    <row r="863" customFormat="false" ht="48.75" hidden="false" customHeight="true" outlineLevel="0" collapsed="false">
      <c r="A863" s="2"/>
      <c r="B863" s="44"/>
      <c r="C863" s="44"/>
      <c r="D863" s="4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9"/>
    </row>
    <row r="864" customFormat="false" ht="48.75" hidden="false" customHeight="true" outlineLevel="0" collapsed="false">
      <c r="A864" s="2"/>
      <c r="B864" s="44"/>
      <c r="C864" s="44"/>
      <c r="D864" s="4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9"/>
    </row>
    <row r="865" customFormat="false" ht="48.75" hidden="false" customHeight="true" outlineLevel="0" collapsed="false">
      <c r="A865" s="2"/>
      <c r="B865" s="44"/>
      <c r="C865" s="44"/>
      <c r="D865" s="4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9"/>
    </row>
    <row r="866" customFormat="false" ht="48.75" hidden="false" customHeight="true" outlineLevel="0" collapsed="false">
      <c r="A866" s="2"/>
      <c r="B866" s="44"/>
      <c r="C866" s="44"/>
      <c r="D866" s="4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9"/>
    </row>
    <row r="867" customFormat="false" ht="48.75" hidden="false" customHeight="true" outlineLevel="0" collapsed="false">
      <c r="A867" s="2"/>
      <c r="B867" s="44"/>
      <c r="C867" s="44"/>
      <c r="D867" s="4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9"/>
    </row>
    <row r="868" customFormat="false" ht="48.75" hidden="false" customHeight="true" outlineLevel="0" collapsed="false">
      <c r="A868" s="2"/>
      <c r="B868" s="44"/>
      <c r="C868" s="44"/>
      <c r="D868" s="4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9"/>
    </row>
    <row r="869" customFormat="false" ht="48.75" hidden="false" customHeight="true" outlineLevel="0" collapsed="false">
      <c r="A869" s="2"/>
      <c r="B869" s="44"/>
      <c r="C869" s="44"/>
      <c r="D869" s="4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9"/>
    </row>
    <row r="870" customFormat="false" ht="48.75" hidden="false" customHeight="true" outlineLevel="0" collapsed="false">
      <c r="A870" s="2"/>
      <c r="B870" s="44"/>
      <c r="C870" s="44"/>
      <c r="D870" s="4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9"/>
    </row>
    <row r="871" customFormat="false" ht="48.75" hidden="false" customHeight="true" outlineLevel="0" collapsed="false">
      <c r="A871" s="2"/>
      <c r="B871" s="44"/>
      <c r="C871" s="44"/>
      <c r="D871" s="4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9"/>
    </row>
    <row r="872" customFormat="false" ht="48.75" hidden="false" customHeight="true" outlineLevel="0" collapsed="false">
      <c r="A872" s="2"/>
      <c r="B872" s="44"/>
      <c r="C872" s="44"/>
      <c r="D872" s="4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9"/>
    </row>
    <row r="873" customFormat="false" ht="48.75" hidden="false" customHeight="true" outlineLevel="0" collapsed="false">
      <c r="A873" s="2"/>
      <c r="B873" s="44"/>
      <c r="C873" s="44"/>
      <c r="D873" s="4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9"/>
    </row>
    <row r="874" customFormat="false" ht="48.75" hidden="false" customHeight="true" outlineLevel="0" collapsed="false">
      <c r="A874" s="2"/>
      <c r="B874" s="44"/>
      <c r="C874" s="44"/>
      <c r="D874" s="4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9"/>
    </row>
    <row r="875" customFormat="false" ht="48.75" hidden="false" customHeight="true" outlineLevel="0" collapsed="false">
      <c r="A875" s="2"/>
      <c r="B875" s="44"/>
      <c r="C875" s="44"/>
      <c r="D875" s="4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9"/>
    </row>
    <row r="876" customFormat="false" ht="48.75" hidden="false" customHeight="true" outlineLevel="0" collapsed="false">
      <c r="A876" s="2"/>
      <c r="B876" s="44"/>
      <c r="C876" s="44"/>
      <c r="D876" s="4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9"/>
    </row>
    <row r="877" customFormat="false" ht="48.75" hidden="false" customHeight="true" outlineLevel="0" collapsed="false">
      <c r="A877" s="2"/>
      <c r="B877" s="44"/>
      <c r="C877" s="44"/>
      <c r="D877" s="4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9"/>
    </row>
    <row r="878" customFormat="false" ht="48.75" hidden="false" customHeight="true" outlineLevel="0" collapsed="false">
      <c r="A878" s="2"/>
      <c r="B878" s="44"/>
      <c r="C878" s="44"/>
      <c r="D878" s="4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9"/>
    </row>
    <row r="879" customFormat="false" ht="48.75" hidden="false" customHeight="true" outlineLevel="0" collapsed="false">
      <c r="A879" s="2"/>
      <c r="B879" s="44"/>
      <c r="C879" s="44"/>
      <c r="D879" s="4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9"/>
    </row>
    <row r="880" customFormat="false" ht="48.75" hidden="false" customHeight="true" outlineLevel="0" collapsed="false">
      <c r="A880" s="2"/>
      <c r="B880" s="44"/>
      <c r="C880" s="44"/>
      <c r="D880" s="4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9"/>
    </row>
    <row r="881" customFormat="false" ht="48.75" hidden="false" customHeight="true" outlineLevel="0" collapsed="false">
      <c r="A881" s="2"/>
      <c r="B881" s="44"/>
      <c r="C881" s="44"/>
      <c r="D881" s="4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9"/>
    </row>
    <row r="882" customFormat="false" ht="48.75" hidden="false" customHeight="true" outlineLevel="0" collapsed="false">
      <c r="A882" s="2"/>
      <c r="B882" s="44"/>
      <c r="C882" s="44"/>
      <c r="D882" s="4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9"/>
    </row>
    <row r="883" customFormat="false" ht="48.75" hidden="false" customHeight="true" outlineLevel="0" collapsed="false">
      <c r="A883" s="2"/>
      <c r="B883" s="44"/>
      <c r="C883" s="44"/>
      <c r="D883" s="4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9"/>
    </row>
    <row r="884" customFormat="false" ht="48.75" hidden="false" customHeight="true" outlineLevel="0" collapsed="false">
      <c r="A884" s="2"/>
      <c r="B884" s="44"/>
      <c r="C884" s="44"/>
      <c r="D884" s="4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9"/>
    </row>
    <row r="885" customFormat="false" ht="48.75" hidden="false" customHeight="true" outlineLevel="0" collapsed="false">
      <c r="A885" s="2"/>
      <c r="B885" s="44"/>
      <c r="C885" s="44"/>
      <c r="D885" s="4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9"/>
    </row>
    <row r="886" customFormat="false" ht="48.75" hidden="false" customHeight="true" outlineLevel="0" collapsed="false">
      <c r="A886" s="2"/>
      <c r="B886" s="44"/>
      <c r="C886" s="44"/>
      <c r="D886" s="4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9"/>
    </row>
    <row r="887" customFormat="false" ht="48.75" hidden="false" customHeight="true" outlineLevel="0" collapsed="false">
      <c r="A887" s="2"/>
      <c r="B887" s="44"/>
      <c r="C887" s="44"/>
      <c r="D887" s="4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9"/>
    </row>
    <row r="888" customFormat="false" ht="48.75" hidden="false" customHeight="true" outlineLevel="0" collapsed="false">
      <c r="A888" s="2"/>
      <c r="B888" s="44"/>
      <c r="C888" s="44"/>
      <c r="D888" s="4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9"/>
    </row>
    <row r="889" customFormat="false" ht="48.75" hidden="false" customHeight="true" outlineLevel="0" collapsed="false">
      <c r="A889" s="2"/>
      <c r="B889" s="44"/>
      <c r="C889" s="44"/>
      <c r="D889" s="4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9"/>
    </row>
    <row r="890" customFormat="false" ht="48.75" hidden="false" customHeight="true" outlineLevel="0" collapsed="false">
      <c r="A890" s="2"/>
      <c r="B890" s="44"/>
      <c r="C890" s="44"/>
      <c r="D890" s="4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9"/>
    </row>
    <row r="891" customFormat="false" ht="48.75" hidden="false" customHeight="true" outlineLevel="0" collapsed="false">
      <c r="A891" s="2"/>
      <c r="B891" s="44"/>
      <c r="C891" s="44"/>
      <c r="D891" s="4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9"/>
    </row>
    <row r="892" customFormat="false" ht="48.75" hidden="false" customHeight="true" outlineLevel="0" collapsed="false">
      <c r="A892" s="2"/>
      <c r="B892" s="44"/>
      <c r="C892" s="44"/>
      <c r="D892" s="4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9"/>
    </row>
    <row r="893" customFormat="false" ht="48.75" hidden="false" customHeight="true" outlineLevel="0" collapsed="false">
      <c r="A893" s="2"/>
      <c r="B893" s="44"/>
      <c r="C893" s="44"/>
      <c r="D893" s="4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9"/>
    </row>
    <row r="894" customFormat="false" ht="48.75" hidden="false" customHeight="true" outlineLevel="0" collapsed="false">
      <c r="A894" s="2"/>
      <c r="B894" s="44"/>
      <c r="C894" s="44"/>
      <c r="D894" s="4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9"/>
    </row>
    <row r="895" customFormat="false" ht="48.75" hidden="false" customHeight="true" outlineLevel="0" collapsed="false">
      <c r="A895" s="2"/>
      <c r="B895" s="44"/>
      <c r="C895" s="44"/>
      <c r="D895" s="4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9"/>
    </row>
    <row r="896" customFormat="false" ht="48.75" hidden="false" customHeight="true" outlineLevel="0" collapsed="false">
      <c r="A896" s="2"/>
      <c r="B896" s="44"/>
      <c r="C896" s="44"/>
      <c r="D896" s="4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9"/>
    </row>
    <row r="897" customFormat="false" ht="48.75" hidden="false" customHeight="true" outlineLevel="0" collapsed="false">
      <c r="A897" s="2"/>
      <c r="B897" s="44"/>
      <c r="C897" s="44"/>
      <c r="D897" s="4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9"/>
    </row>
    <row r="898" customFormat="false" ht="48.75" hidden="false" customHeight="true" outlineLevel="0" collapsed="false">
      <c r="A898" s="2"/>
      <c r="B898" s="44"/>
      <c r="C898" s="44"/>
      <c r="D898" s="4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9"/>
    </row>
    <row r="899" customFormat="false" ht="48.75" hidden="false" customHeight="true" outlineLevel="0" collapsed="false">
      <c r="A899" s="2"/>
      <c r="B899" s="44"/>
      <c r="C899" s="44"/>
      <c r="D899" s="4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9"/>
    </row>
    <row r="900" customFormat="false" ht="48.75" hidden="false" customHeight="true" outlineLevel="0" collapsed="false">
      <c r="A900" s="2"/>
      <c r="B900" s="44"/>
      <c r="C900" s="44"/>
      <c r="D900" s="4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9"/>
    </row>
    <row r="901" customFormat="false" ht="48.75" hidden="false" customHeight="true" outlineLevel="0" collapsed="false">
      <c r="A901" s="2"/>
      <c r="B901" s="44"/>
      <c r="C901" s="44"/>
      <c r="D901" s="4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9"/>
    </row>
    <row r="902" customFormat="false" ht="48.75" hidden="false" customHeight="true" outlineLevel="0" collapsed="false">
      <c r="A902" s="2"/>
      <c r="B902" s="44"/>
      <c r="C902" s="44"/>
      <c r="D902" s="4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9"/>
    </row>
    <row r="903" customFormat="false" ht="48.75" hidden="false" customHeight="true" outlineLevel="0" collapsed="false">
      <c r="A903" s="2"/>
      <c r="B903" s="44"/>
      <c r="C903" s="44"/>
      <c r="D903" s="4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9"/>
    </row>
    <row r="904" customFormat="false" ht="48.75" hidden="false" customHeight="true" outlineLevel="0" collapsed="false">
      <c r="A904" s="2"/>
      <c r="B904" s="44"/>
      <c r="C904" s="44"/>
      <c r="D904" s="4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9"/>
    </row>
    <row r="905" customFormat="false" ht="48.75" hidden="false" customHeight="true" outlineLevel="0" collapsed="false">
      <c r="A905" s="2"/>
      <c r="B905" s="44"/>
      <c r="C905" s="44"/>
      <c r="D905" s="4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9"/>
    </row>
    <row r="906" customFormat="false" ht="48.75" hidden="false" customHeight="true" outlineLevel="0" collapsed="false">
      <c r="A906" s="2"/>
      <c r="B906" s="44"/>
      <c r="C906" s="44"/>
      <c r="D906" s="4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9"/>
    </row>
    <row r="907" customFormat="false" ht="48.75" hidden="false" customHeight="true" outlineLevel="0" collapsed="false">
      <c r="A907" s="2"/>
      <c r="B907" s="44"/>
      <c r="C907" s="44"/>
      <c r="D907" s="4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9"/>
    </row>
    <row r="908" customFormat="false" ht="48.75" hidden="false" customHeight="true" outlineLevel="0" collapsed="false">
      <c r="A908" s="2"/>
      <c r="B908" s="44"/>
      <c r="C908" s="44"/>
      <c r="D908" s="4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9"/>
    </row>
    <row r="909" customFormat="false" ht="48.75" hidden="false" customHeight="true" outlineLevel="0" collapsed="false">
      <c r="A909" s="2"/>
      <c r="B909" s="44"/>
      <c r="C909" s="44"/>
      <c r="D909" s="4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9"/>
    </row>
    <row r="910" customFormat="false" ht="48.75" hidden="false" customHeight="true" outlineLevel="0" collapsed="false">
      <c r="A910" s="2"/>
      <c r="B910" s="44"/>
      <c r="C910" s="44"/>
      <c r="D910" s="4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9"/>
    </row>
    <row r="911" customFormat="false" ht="48.75" hidden="false" customHeight="true" outlineLevel="0" collapsed="false">
      <c r="A911" s="2"/>
      <c r="B911" s="44"/>
      <c r="C911" s="44"/>
      <c r="D911" s="4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9"/>
    </row>
    <row r="912" customFormat="false" ht="48.75" hidden="false" customHeight="true" outlineLevel="0" collapsed="false">
      <c r="A912" s="2"/>
      <c r="B912" s="44"/>
      <c r="C912" s="44"/>
      <c r="D912" s="4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9"/>
    </row>
    <row r="913" customFormat="false" ht="48.75" hidden="false" customHeight="true" outlineLevel="0" collapsed="false">
      <c r="A913" s="2"/>
      <c r="B913" s="44"/>
      <c r="C913" s="44"/>
      <c r="D913" s="4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9"/>
    </row>
    <row r="914" customFormat="false" ht="48.75" hidden="false" customHeight="true" outlineLevel="0" collapsed="false">
      <c r="A914" s="2"/>
      <c r="B914" s="44"/>
      <c r="C914" s="44"/>
      <c r="D914" s="4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9"/>
    </row>
    <row r="915" customFormat="false" ht="48.75" hidden="false" customHeight="true" outlineLevel="0" collapsed="false">
      <c r="A915" s="2"/>
      <c r="B915" s="44"/>
      <c r="C915" s="44"/>
      <c r="D915" s="4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9"/>
    </row>
    <row r="916" customFormat="false" ht="48.75" hidden="false" customHeight="true" outlineLevel="0" collapsed="false">
      <c r="A916" s="2"/>
      <c r="B916" s="44"/>
      <c r="C916" s="44"/>
      <c r="D916" s="4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9"/>
    </row>
    <row r="917" customFormat="false" ht="48.75" hidden="false" customHeight="true" outlineLevel="0" collapsed="false">
      <c r="A917" s="2"/>
      <c r="B917" s="44"/>
      <c r="C917" s="44"/>
      <c r="D917" s="4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9"/>
    </row>
    <row r="918" customFormat="false" ht="48.75" hidden="false" customHeight="true" outlineLevel="0" collapsed="false">
      <c r="A918" s="2"/>
      <c r="B918" s="44"/>
      <c r="C918" s="44"/>
      <c r="D918" s="4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9"/>
    </row>
    <row r="919" customFormat="false" ht="48.75" hidden="false" customHeight="true" outlineLevel="0" collapsed="false">
      <c r="A919" s="2"/>
      <c r="B919" s="44"/>
      <c r="C919" s="44"/>
      <c r="D919" s="4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9"/>
    </row>
    <row r="920" customFormat="false" ht="48.75" hidden="false" customHeight="true" outlineLevel="0" collapsed="false">
      <c r="A920" s="2"/>
      <c r="B920" s="44"/>
      <c r="C920" s="44"/>
      <c r="D920" s="4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9"/>
    </row>
    <row r="921" customFormat="false" ht="48.75" hidden="false" customHeight="true" outlineLevel="0" collapsed="false">
      <c r="A921" s="2"/>
      <c r="B921" s="44"/>
      <c r="C921" s="44"/>
      <c r="D921" s="4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9"/>
    </row>
    <row r="922" customFormat="false" ht="48.75" hidden="false" customHeight="true" outlineLevel="0" collapsed="false">
      <c r="A922" s="2"/>
      <c r="B922" s="44"/>
      <c r="C922" s="44"/>
      <c r="D922" s="4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9"/>
    </row>
    <row r="923" customFormat="false" ht="48.75" hidden="false" customHeight="true" outlineLevel="0" collapsed="false">
      <c r="A923" s="2"/>
      <c r="B923" s="44"/>
      <c r="C923" s="44"/>
      <c r="D923" s="4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9"/>
    </row>
    <row r="924" customFormat="false" ht="48.75" hidden="false" customHeight="true" outlineLevel="0" collapsed="false">
      <c r="A924" s="2"/>
      <c r="B924" s="44"/>
      <c r="C924" s="44"/>
      <c r="D924" s="4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9"/>
    </row>
    <row r="925" customFormat="false" ht="48.75" hidden="false" customHeight="true" outlineLevel="0" collapsed="false">
      <c r="A925" s="2"/>
      <c r="B925" s="44"/>
      <c r="C925" s="44"/>
      <c r="D925" s="4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9"/>
    </row>
    <row r="926" customFormat="false" ht="48.75" hidden="false" customHeight="true" outlineLevel="0" collapsed="false">
      <c r="A926" s="2"/>
      <c r="B926" s="44"/>
      <c r="C926" s="44"/>
      <c r="D926" s="4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9"/>
    </row>
    <row r="927" customFormat="false" ht="48.75" hidden="false" customHeight="true" outlineLevel="0" collapsed="false">
      <c r="A927" s="2"/>
      <c r="B927" s="44"/>
      <c r="C927" s="44"/>
      <c r="D927" s="4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9"/>
    </row>
    <row r="928" customFormat="false" ht="48.75" hidden="false" customHeight="true" outlineLevel="0" collapsed="false">
      <c r="A928" s="2"/>
      <c r="B928" s="44"/>
      <c r="C928" s="44"/>
      <c r="D928" s="4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9"/>
    </row>
    <row r="929" customFormat="false" ht="48.75" hidden="false" customHeight="true" outlineLevel="0" collapsed="false">
      <c r="A929" s="2"/>
      <c r="B929" s="44"/>
      <c r="C929" s="44"/>
      <c r="D929" s="4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9"/>
    </row>
    <row r="930" customFormat="false" ht="48.75" hidden="false" customHeight="true" outlineLevel="0" collapsed="false">
      <c r="A930" s="2"/>
      <c r="B930" s="44"/>
      <c r="C930" s="44"/>
      <c r="D930" s="4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9"/>
    </row>
    <row r="931" customFormat="false" ht="48.75" hidden="false" customHeight="true" outlineLevel="0" collapsed="false">
      <c r="A931" s="2"/>
      <c r="B931" s="44"/>
      <c r="C931" s="44"/>
      <c r="D931" s="4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9"/>
    </row>
    <row r="932" customFormat="false" ht="48.75" hidden="false" customHeight="true" outlineLevel="0" collapsed="false">
      <c r="A932" s="2"/>
      <c r="B932" s="44"/>
      <c r="C932" s="44"/>
      <c r="D932" s="4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9"/>
    </row>
    <row r="933" customFormat="false" ht="48.75" hidden="false" customHeight="true" outlineLevel="0" collapsed="false">
      <c r="A933" s="2"/>
      <c r="B933" s="44"/>
      <c r="C933" s="44"/>
      <c r="D933" s="4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9"/>
    </row>
    <row r="934" customFormat="false" ht="48.75" hidden="false" customHeight="true" outlineLevel="0" collapsed="false">
      <c r="A934" s="2"/>
      <c r="B934" s="44"/>
      <c r="C934" s="44"/>
      <c r="D934" s="4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9"/>
    </row>
    <row r="935" customFormat="false" ht="48.75" hidden="false" customHeight="true" outlineLevel="0" collapsed="false">
      <c r="A935" s="2"/>
      <c r="B935" s="44"/>
      <c r="C935" s="44"/>
      <c r="D935" s="4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9"/>
    </row>
    <row r="936" customFormat="false" ht="48.75" hidden="false" customHeight="true" outlineLevel="0" collapsed="false">
      <c r="A936" s="2"/>
      <c r="B936" s="44"/>
      <c r="C936" s="44"/>
      <c r="D936" s="4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9"/>
    </row>
    <row r="937" customFormat="false" ht="48.75" hidden="false" customHeight="true" outlineLevel="0" collapsed="false">
      <c r="A937" s="2"/>
      <c r="B937" s="44"/>
      <c r="C937" s="44"/>
      <c r="D937" s="4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9"/>
    </row>
    <row r="938" customFormat="false" ht="48.75" hidden="false" customHeight="true" outlineLevel="0" collapsed="false">
      <c r="A938" s="2"/>
      <c r="B938" s="44"/>
      <c r="C938" s="44"/>
      <c r="D938" s="4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9"/>
    </row>
    <row r="939" customFormat="false" ht="48.75" hidden="false" customHeight="true" outlineLevel="0" collapsed="false">
      <c r="A939" s="2"/>
      <c r="B939" s="44"/>
      <c r="C939" s="44"/>
      <c r="D939" s="4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9"/>
    </row>
    <row r="940" customFormat="false" ht="48.75" hidden="false" customHeight="true" outlineLevel="0" collapsed="false">
      <c r="A940" s="2"/>
      <c r="B940" s="44"/>
      <c r="C940" s="44"/>
      <c r="D940" s="4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9"/>
    </row>
    <row r="941" customFormat="false" ht="48.75" hidden="false" customHeight="true" outlineLevel="0" collapsed="false">
      <c r="A941" s="2"/>
      <c r="B941" s="44"/>
      <c r="C941" s="44"/>
      <c r="D941" s="4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9"/>
    </row>
    <row r="942" customFormat="false" ht="48.75" hidden="false" customHeight="true" outlineLevel="0" collapsed="false">
      <c r="A942" s="2"/>
      <c r="B942" s="44"/>
      <c r="C942" s="44"/>
      <c r="D942" s="4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9"/>
    </row>
    <row r="943" customFormat="false" ht="48.75" hidden="false" customHeight="true" outlineLevel="0" collapsed="false">
      <c r="A943" s="2"/>
      <c r="B943" s="44"/>
      <c r="C943" s="44"/>
      <c r="D943" s="4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9"/>
    </row>
    <row r="944" customFormat="false" ht="48.75" hidden="false" customHeight="true" outlineLevel="0" collapsed="false">
      <c r="A944" s="2"/>
      <c r="B944" s="44"/>
      <c r="C944" s="44"/>
      <c r="D944" s="4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9"/>
    </row>
    <row r="945" customFormat="false" ht="48.75" hidden="false" customHeight="true" outlineLevel="0" collapsed="false">
      <c r="A945" s="2"/>
      <c r="B945" s="44"/>
      <c r="C945" s="44"/>
      <c r="D945" s="4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9"/>
    </row>
    <row r="946" customFormat="false" ht="48.75" hidden="false" customHeight="true" outlineLevel="0" collapsed="false">
      <c r="A946" s="2"/>
      <c r="B946" s="44"/>
      <c r="C946" s="44"/>
      <c r="D946" s="4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9"/>
    </row>
    <row r="947" customFormat="false" ht="48.75" hidden="false" customHeight="true" outlineLevel="0" collapsed="false">
      <c r="A947" s="2"/>
      <c r="B947" s="44"/>
      <c r="C947" s="44"/>
      <c r="D947" s="4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9"/>
    </row>
    <row r="948" customFormat="false" ht="48.75" hidden="false" customHeight="true" outlineLevel="0" collapsed="false">
      <c r="A948" s="2"/>
      <c r="B948" s="44"/>
      <c r="C948" s="44"/>
      <c r="D948" s="4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9"/>
    </row>
    <row r="949" customFormat="false" ht="48.75" hidden="false" customHeight="true" outlineLevel="0" collapsed="false">
      <c r="A949" s="2"/>
      <c r="B949" s="44"/>
      <c r="C949" s="44"/>
      <c r="D949" s="4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9"/>
    </row>
    <row r="950" customFormat="false" ht="48.75" hidden="false" customHeight="true" outlineLevel="0" collapsed="false">
      <c r="A950" s="2"/>
      <c r="B950" s="44"/>
      <c r="C950" s="44"/>
      <c r="D950" s="4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9"/>
    </row>
    <row r="951" customFormat="false" ht="48.75" hidden="false" customHeight="true" outlineLevel="0" collapsed="false">
      <c r="A951" s="2"/>
      <c r="B951" s="44"/>
      <c r="C951" s="44"/>
      <c r="D951" s="4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9"/>
    </row>
    <row r="952" customFormat="false" ht="48.75" hidden="false" customHeight="true" outlineLevel="0" collapsed="false">
      <c r="A952" s="2"/>
      <c r="B952" s="44"/>
      <c r="C952" s="44"/>
      <c r="D952" s="4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9"/>
    </row>
    <row r="953" customFormat="false" ht="48.75" hidden="false" customHeight="true" outlineLevel="0" collapsed="false">
      <c r="A953" s="2"/>
      <c r="B953" s="44"/>
      <c r="C953" s="44"/>
      <c r="D953" s="4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9"/>
    </row>
    <row r="954" customFormat="false" ht="48.75" hidden="false" customHeight="true" outlineLevel="0" collapsed="false">
      <c r="A954" s="2"/>
      <c r="B954" s="44"/>
      <c r="C954" s="44"/>
      <c r="D954" s="4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9"/>
    </row>
    <row r="955" customFormat="false" ht="48.75" hidden="false" customHeight="true" outlineLevel="0" collapsed="false">
      <c r="A955" s="2"/>
      <c r="B955" s="44"/>
      <c r="C955" s="44"/>
      <c r="D955" s="4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9"/>
    </row>
    <row r="956" customFormat="false" ht="48.75" hidden="false" customHeight="true" outlineLevel="0" collapsed="false">
      <c r="A956" s="2"/>
      <c r="B956" s="44"/>
      <c r="C956" s="44"/>
      <c r="D956" s="4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9"/>
    </row>
    <row r="957" customFormat="false" ht="48.75" hidden="false" customHeight="true" outlineLevel="0" collapsed="false">
      <c r="A957" s="2"/>
      <c r="B957" s="44"/>
      <c r="C957" s="44"/>
      <c r="D957" s="4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9"/>
    </row>
    <row r="958" customFormat="false" ht="48.75" hidden="false" customHeight="true" outlineLevel="0" collapsed="false">
      <c r="A958" s="2"/>
      <c r="B958" s="44"/>
      <c r="C958" s="44"/>
      <c r="D958" s="4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9"/>
    </row>
    <row r="959" customFormat="false" ht="48.75" hidden="false" customHeight="true" outlineLevel="0" collapsed="false">
      <c r="A959" s="2"/>
      <c r="B959" s="44"/>
      <c r="C959" s="44"/>
      <c r="D959" s="4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9"/>
    </row>
    <row r="960" customFormat="false" ht="48.75" hidden="false" customHeight="true" outlineLevel="0" collapsed="false">
      <c r="A960" s="2"/>
      <c r="B960" s="44"/>
      <c r="C960" s="44"/>
      <c r="D960" s="4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9"/>
    </row>
    <row r="961" customFormat="false" ht="48.75" hidden="false" customHeight="true" outlineLevel="0" collapsed="false">
      <c r="A961" s="2"/>
      <c r="B961" s="44"/>
      <c r="C961" s="44"/>
      <c r="D961" s="4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9"/>
    </row>
    <row r="962" customFormat="false" ht="48.75" hidden="false" customHeight="true" outlineLevel="0" collapsed="false">
      <c r="A962" s="2"/>
      <c r="B962" s="44"/>
      <c r="C962" s="44"/>
      <c r="D962" s="4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9"/>
    </row>
    <row r="963" customFormat="false" ht="48.75" hidden="false" customHeight="true" outlineLevel="0" collapsed="false">
      <c r="A963" s="2"/>
      <c r="B963" s="44"/>
      <c r="C963" s="44"/>
      <c r="D963" s="4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9"/>
    </row>
    <row r="964" customFormat="false" ht="48.75" hidden="false" customHeight="true" outlineLevel="0" collapsed="false">
      <c r="A964" s="2"/>
      <c r="B964" s="44"/>
      <c r="C964" s="44"/>
      <c r="D964" s="4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9"/>
    </row>
    <row r="965" customFormat="false" ht="48.75" hidden="false" customHeight="true" outlineLevel="0" collapsed="false">
      <c r="A965" s="2"/>
      <c r="B965" s="44"/>
      <c r="C965" s="44"/>
      <c r="D965" s="4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9"/>
    </row>
    <row r="966" customFormat="false" ht="48.75" hidden="false" customHeight="true" outlineLevel="0" collapsed="false">
      <c r="A966" s="2"/>
      <c r="B966" s="44"/>
      <c r="C966" s="44"/>
      <c r="D966" s="4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9"/>
    </row>
    <row r="967" customFormat="false" ht="48.75" hidden="false" customHeight="true" outlineLevel="0" collapsed="false">
      <c r="A967" s="2"/>
      <c r="B967" s="44"/>
      <c r="C967" s="44"/>
      <c r="D967" s="4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9"/>
    </row>
    <row r="968" customFormat="false" ht="48.75" hidden="false" customHeight="true" outlineLevel="0" collapsed="false">
      <c r="A968" s="2"/>
      <c r="B968" s="44"/>
      <c r="C968" s="44"/>
      <c r="D968" s="4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9"/>
    </row>
    <row r="969" customFormat="false" ht="48.75" hidden="false" customHeight="true" outlineLevel="0" collapsed="false">
      <c r="A969" s="2"/>
      <c r="B969" s="44"/>
      <c r="C969" s="44"/>
      <c r="D969" s="4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9"/>
    </row>
    <row r="970" customFormat="false" ht="48.75" hidden="false" customHeight="true" outlineLevel="0" collapsed="false">
      <c r="A970" s="2"/>
      <c r="B970" s="44"/>
      <c r="C970" s="44"/>
      <c r="D970" s="4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9"/>
    </row>
    <row r="971" customFormat="false" ht="48.75" hidden="false" customHeight="true" outlineLevel="0" collapsed="false">
      <c r="A971" s="2"/>
      <c r="B971" s="44"/>
      <c r="C971" s="44"/>
      <c r="D971" s="4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9"/>
    </row>
    <row r="972" customFormat="false" ht="48.75" hidden="false" customHeight="true" outlineLevel="0" collapsed="false">
      <c r="A972" s="2"/>
      <c r="B972" s="44"/>
      <c r="C972" s="44"/>
      <c r="D972" s="4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9"/>
    </row>
    <row r="973" customFormat="false" ht="48.75" hidden="false" customHeight="true" outlineLevel="0" collapsed="false">
      <c r="A973" s="2"/>
      <c r="B973" s="44"/>
      <c r="C973" s="44"/>
      <c r="D973" s="4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9"/>
    </row>
    <row r="974" customFormat="false" ht="48.75" hidden="false" customHeight="true" outlineLevel="0" collapsed="false">
      <c r="A974" s="2"/>
      <c r="B974" s="44"/>
      <c r="C974" s="44"/>
      <c r="D974" s="4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9"/>
    </row>
    <row r="975" customFormat="false" ht="48.75" hidden="false" customHeight="true" outlineLevel="0" collapsed="false">
      <c r="A975" s="2"/>
      <c r="B975" s="44"/>
      <c r="C975" s="44"/>
      <c r="D975" s="4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9"/>
    </row>
    <row r="976" customFormat="false" ht="48.75" hidden="false" customHeight="true" outlineLevel="0" collapsed="false">
      <c r="A976" s="2"/>
      <c r="B976" s="44"/>
      <c r="C976" s="44"/>
      <c r="D976" s="4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9"/>
    </row>
    <row r="977" customFormat="false" ht="48.75" hidden="false" customHeight="true" outlineLevel="0" collapsed="false">
      <c r="A977" s="2"/>
      <c r="B977" s="44"/>
      <c r="C977" s="44"/>
      <c r="D977" s="4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9"/>
    </row>
    <row r="978" customFormat="false" ht="48.75" hidden="false" customHeight="true" outlineLevel="0" collapsed="false">
      <c r="A978" s="2"/>
      <c r="B978" s="44"/>
      <c r="C978" s="44"/>
      <c r="D978" s="4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9"/>
    </row>
    <row r="979" customFormat="false" ht="48.75" hidden="false" customHeight="true" outlineLevel="0" collapsed="false">
      <c r="A979" s="2"/>
      <c r="B979" s="44"/>
      <c r="C979" s="44"/>
      <c r="D979" s="4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9"/>
    </row>
    <row r="980" customFormat="false" ht="48.75" hidden="false" customHeight="true" outlineLevel="0" collapsed="false">
      <c r="A980" s="2"/>
      <c r="B980" s="44"/>
      <c r="C980" s="44"/>
      <c r="D980" s="4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9"/>
    </row>
    <row r="981" customFormat="false" ht="48.75" hidden="false" customHeight="true" outlineLevel="0" collapsed="false">
      <c r="A981" s="2"/>
      <c r="B981" s="44"/>
      <c r="C981" s="44"/>
      <c r="D981" s="4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9"/>
    </row>
    <row r="982" customFormat="false" ht="48.75" hidden="false" customHeight="true" outlineLevel="0" collapsed="false">
      <c r="A982" s="2"/>
      <c r="B982" s="44"/>
      <c r="C982" s="44"/>
      <c r="D982" s="4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9"/>
    </row>
    <row r="983" customFormat="false" ht="48.75" hidden="false" customHeight="true" outlineLevel="0" collapsed="false">
      <c r="A983" s="2"/>
      <c r="B983" s="44"/>
      <c r="C983" s="44"/>
      <c r="D983" s="4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9"/>
    </row>
    <row r="984" customFormat="false" ht="48.75" hidden="false" customHeight="true" outlineLevel="0" collapsed="false">
      <c r="A984" s="2"/>
      <c r="B984" s="44"/>
      <c r="C984" s="44"/>
      <c r="D984" s="4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9"/>
    </row>
    <row r="985" customFormat="false" ht="48.75" hidden="false" customHeight="true" outlineLevel="0" collapsed="false">
      <c r="A985" s="2"/>
      <c r="B985" s="44"/>
      <c r="C985" s="44"/>
      <c r="D985" s="4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9"/>
    </row>
    <row r="986" customFormat="false" ht="48.75" hidden="false" customHeight="true" outlineLevel="0" collapsed="false">
      <c r="A986" s="2"/>
      <c r="B986" s="44"/>
      <c r="C986" s="44"/>
      <c r="D986" s="4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9"/>
    </row>
    <row r="987" customFormat="false" ht="48.75" hidden="false" customHeight="true" outlineLevel="0" collapsed="false">
      <c r="A987" s="2"/>
      <c r="B987" s="44"/>
      <c r="C987" s="44"/>
      <c r="D987" s="4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9"/>
    </row>
    <row r="988" customFormat="false" ht="48.75" hidden="false" customHeight="true" outlineLevel="0" collapsed="false">
      <c r="A988" s="2"/>
      <c r="B988" s="44"/>
      <c r="C988" s="44"/>
      <c r="D988" s="4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9"/>
    </row>
    <row r="989" customFormat="false" ht="48.75" hidden="false" customHeight="true" outlineLevel="0" collapsed="false">
      <c r="A989" s="2"/>
      <c r="B989" s="44"/>
      <c r="C989" s="44"/>
      <c r="D989" s="4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9"/>
    </row>
    <row r="990" customFormat="false" ht="48.75" hidden="false" customHeight="true" outlineLevel="0" collapsed="false">
      <c r="A990" s="2"/>
      <c r="B990" s="44"/>
      <c r="C990" s="44"/>
      <c r="D990" s="4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9"/>
    </row>
    <row r="991" customFormat="false" ht="48.75" hidden="false" customHeight="true" outlineLevel="0" collapsed="false">
      <c r="A991" s="2"/>
      <c r="B991" s="44"/>
      <c r="C991" s="44"/>
      <c r="D991" s="4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9"/>
    </row>
    <row r="992" customFormat="false" ht="48.75" hidden="false" customHeight="true" outlineLevel="0" collapsed="false">
      <c r="A992" s="2"/>
      <c r="B992" s="44"/>
      <c r="C992" s="44"/>
      <c r="D992" s="4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9"/>
    </row>
    <row r="993" customFormat="false" ht="48.75" hidden="false" customHeight="true" outlineLevel="0" collapsed="false">
      <c r="A993" s="2"/>
      <c r="B993" s="44"/>
      <c r="C993" s="44"/>
      <c r="D993" s="4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9"/>
    </row>
    <row r="994" customFormat="false" ht="48.75" hidden="false" customHeight="true" outlineLevel="0" collapsed="false">
      <c r="A994" s="2"/>
      <c r="B994" s="44"/>
      <c r="C994" s="44"/>
      <c r="D994" s="4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9"/>
    </row>
    <row r="995" customFormat="false" ht="48.75" hidden="false" customHeight="true" outlineLevel="0" collapsed="false">
      <c r="A995" s="2"/>
      <c r="B995" s="44"/>
      <c r="C995" s="44"/>
      <c r="D995" s="4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9"/>
    </row>
    <row r="996" customFormat="false" ht="48.75" hidden="false" customHeight="true" outlineLevel="0" collapsed="false">
      <c r="A996" s="2"/>
      <c r="B996" s="44"/>
      <c r="C996" s="44"/>
      <c r="D996" s="4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9"/>
    </row>
    <row r="997" customFormat="false" ht="48.75" hidden="false" customHeight="true" outlineLevel="0" collapsed="false">
      <c r="A997" s="2"/>
      <c r="B997" s="44"/>
      <c r="C997" s="44"/>
      <c r="D997" s="4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9"/>
    </row>
    <row r="998" customFormat="false" ht="48.75" hidden="false" customHeight="true" outlineLevel="0" collapsed="false">
      <c r="A998" s="2"/>
      <c r="B998" s="44"/>
      <c r="C998" s="44"/>
      <c r="D998" s="4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9"/>
    </row>
    <row r="999" customFormat="false" ht="48.75" hidden="false" customHeight="true" outlineLevel="0" collapsed="false">
      <c r="A999" s="2"/>
      <c r="B999" s="44"/>
      <c r="C999" s="44"/>
      <c r="D999" s="4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9"/>
    </row>
    <row r="1000" customFormat="false" ht="48.75" hidden="false" customHeight="true" outlineLevel="0" collapsed="false">
      <c r="A1000" s="2"/>
      <c r="B1000" s="44"/>
      <c r="C1000" s="44"/>
      <c r="D1000" s="4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9"/>
    </row>
  </sheetData>
  <hyperlinks>
    <hyperlink ref="A1" r:id="rId1" display="S.N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.88"/>
    <col collapsed="false" customWidth="true" hidden="false" outlineLevel="0" max="3" min="3" style="0" width="22.8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33"/>
    <col collapsed="false" customWidth="true" hidden="false" outlineLevel="0" max="7" min="7" style="0" width="8.38"/>
    <col collapsed="false" customWidth="true" hidden="false" outlineLevel="0" max="8" min="8" style="0" width="10.5"/>
    <col collapsed="false" customWidth="true" hidden="false" outlineLevel="0" max="26" min="9" style="0" width="8.63"/>
  </cols>
  <sheetData>
    <row r="1" customFormat="false" ht="28.35" hidden="false" customHeight="false" outlineLevel="0" collapsed="false">
      <c r="A1" s="45" t="s">
        <v>33</v>
      </c>
      <c r="B1" s="45" t="s">
        <v>258</v>
      </c>
      <c r="C1" s="45" t="s">
        <v>259</v>
      </c>
      <c r="D1" s="45" t="s">
        <v>260</v>
      </c>
      <c r="E1" s="46" t="s">
        <v>261</v>
      </c>
      <c r="F1" s="46" t="s">
        <v>262</v>
      </c>
      <c r="G1" s="46" t="s">
        <v>10</v>
      </c>
      <c r="H1" s="46" t="s">
        <v>263</v>
      </c>
    </row>
    <row r="2" customFormat="false" ht="28.35" hidden="false" customHeight="false" outlineLevel="0" collapsed="false">
      <c r="A2" s="47" t="n">
        <v>1</v>
      </c>
      <c r="B2" s="47" t="s">
        <v>264</v>
      </c>
      <c r="C2" s="47" t="s">
        <v>265</v>
      </c>
      <c r="D2" s="47" t="s">
        <v>266</v>
      </c>
      <c r="E2" s="47" t="s">
        <v>267</v>
      </c>
      <c r="F2" s="48" t="s">
        <v>268</v>
      </c>
    </row>
    <row r="3" customFormat="false" ht="28.35" hidden="false" customHeight="false" outlineLevel="0" collapsed="false">
      <c r="A3" s="47" t="n">
        <v>2</v>
      </c>
      <c r="B3" s="47" t="s">
        <v>264</v>
      </c>
      <c r="C3" s="47" t="s">
        <v>269</v>
      </c>
      <c r="D3" s="47" t="s">
        <v>266</v>
      </c>
      <c r="E3" s="47" t="s">
        <v>267</v>
      </c>
      <c r="F3" s="48" t="s">
        <v>268</v>
      </c>
    </row>
    <row r="4" customFormat="false" ht="28.35" hidden="false" customHeight="false" outlineLevel="0" collapsed="false">
      <c r="A4" s="47" t="n">
        <v>3</v>
      </c>
      <c r="B4" s="47" t="s">
        <v>264</v>
      </c>
      <c r="C4" s="47" t="s">
        <v>270</v>
      </c>
      <c r="D4" s="47" t="s">
        <v>266</v>
      </c>
      <c r="E4" s="47" t="s">
        <v>267</v>
      </c>
      <c r="F4" s="48" t="s">
        <v>268</v>
      </c>
    </row>
    <row r="5" customFormat="false" ht="82.05" hidden="false" customHeight="false" outlineLevel="0" collapsed="false">
      <c r="A5" s="47" t="n">
        <v>4</v>
      </c>
      <c r="B5" s="47" t="s">
        <v>264</v>
      </c>
      <c r="C5" s="47" t="s">
        <v>271</v>
      </c>
      <c r="D5" s="47"/>
      <c r="E5" s="47"/>
      <c r="F5" s="48" t="s">
        <v>272</v>
      </c>
      <c r="G5" s="49"/>
    </row>
    <row r="6" customFormat="false" ht="28.35" hidden="false" customHeight="false" outlineLevel="0" collapsed="false">
      <c r="A6" s="47" t="n">
        <v>5</v>
      </c>
      <c r="B6" s="47" t="s">
        <v>273</v>
      </c>
      <c r="C6" s="47" t="s">
        <v>65</v>
      </c>
      <c r="D6" s="47" t="s">
        <v>266</v>
      </c>
      <c r="E6" s="47" t="s">
        <v>267</v>
      </c>
      <c r="F6" s="48" t="s">
        <v>268</v>
      </c>
    </row>
    <row r="7" customFormat="false" ht="28.35" hidden="false" customHeight="false" outlineLevel="0" collapsed="false">
      <c r="A7" s="47" t="n">
        <v>6</v>
      </c>
      <c r="B7" s="47" t="s">
        <v>273</v>
      </c>
      <c r="C7" s="47" t="s">
        <v>274</v>
      </c>
      <c r="D7" s="47" t="s">
        <v>266</v>
      </c>
      <c r="E7" s="47" t="s">
        <v>267</v>
      </c>
      <c r="F7" s="48" t="s">
        <v>268</v>
      </c>
    </row>
    <row r="8" customFormat="false" ht="28.35" hidden="false" customHeight="false" outlineLevel="0" collapsed="false">
      <c r="A8" s="47" t="n">
        <v>7</v>
      </c>
      <c r="B8" s="47" t="s">
        <v>273</v>
      </c>
      <c r="C8" s="47" t="s">
        <v>275</v>
      </c>
      <c r="D8" s="47" t="s">
        <v>266</v>
      </c>
      <c r="E8" s="47" t="s">
        <v>267</v>
      </c>
      <c r="F8" s="48" t="s">
        <v>268</v>
      </c>
    </row>
    <row r="9" customFormat="false" ht="55.2" hidden="false" customHeight="false" outlineLevel="0" collapsed="false">
      <c r="A9" s="47" t="n">
        <v>8</v>
      </c>
      <c r="B9" s="47" t="s">
        <v>276</v>
      </c>
      <c r="C9" s="47" t="s">
        <v>277</v>
      </c>
      <c r="D9" s="47"/>
      <c r="E9" s="47"/>
      <c r="F9" s="50" t="s">
        <v>278</v>
      </c>
    </row>
    <row r="10" customFormat="false" ht="28.35" hidden="false" customHeight="false" outlineLevel="0" collapsed="false">
      <c r="A10" s="47" t="n">
        <v>9</v>
      </c>
      <c r="B10" s="47" t="s">
        <v>70</v>
      </c>
      <c r="C10" s="47" t="s">
        <v>279</v>
      </c>
      <c r="D10" s="47" t="s">
        <v>266</v>
      </c>
      <c r="E10" s="47" t="s">
        <v>267</v>
      </c>
      <c r="F10" s="48" t="s">
        <v>268</v>
      </c>
    </row>
    <row r="11" customFormat="false" ht="41.75" hidden="false" customHeight="false" outlineLevel="0" collapsed="false">
      <c r="A11" s="47" t="n">
        <v>10</v>
      </c>
      <c r="B11" s="47" t="s">
        <v>70</v>
      </c>
      <c r="C11" s="47" t="s">
        <v>280</v>
      </c>
      <c r="D11" s="47" t="s">
        <v>267</v>
      </c>
      <c r="E11" s="47" t="s">
        <v>266</v>
      </c>
      <c r="F11" s="48" t="s">
        <v>281</v>
      </c>
    </row>
    <row r="12" customFormat="false" ht="55.2" hidden="false" customHeight="false" outlineLevel="0" collapsed="false">
      <c r="A12" s="47" t="n">
        <v>11</v>
      </c>
      <c r="B12" s="47" t="s">
        <v>282</v>
      </c>
      <c r="C12" s="47" t="s">
        <v>283</v>
      </c>
      <c r="D12" s="47"/>
      <c r="E12" s="47"/>
      <c r="F12" s="50" t="s">
        <v>284</v>
      </c>
    </row>
    <row r="13" customFormat="false" ht="41.75" hidden="false" customHeight="false" outlineLevel="0" collapsed="false">
      <c r="A13" s="47" t="n">
        <v>12</v>
      </c>
      <c r="B13" s="47" t="s">
        <v>282</v>
      </c>
      <c r="C13" s="47" t="s">
        <v>285</v>
      </c>
      <c r="D13" s="47"/>
      <c r="E13" s="47"/>
      <c r="F13" s="50" t="s">
        <v>286</v>
      </c>
    </row>
    <row r="14" customFormat="false" ht="28.35" hidden="false" customHeight="false" outlineLevel="0" collapsed="false">
      <c r="A14" s="47" t="n">
        <v>13</v>
      </c>
      <c r="B14" s="47" t="s">
        <v>47</v>
      </c>
      <c r="C14" s="47" t="s">
        <v>287</v>
      </c>
      <c r="D14" s="47" t="s">
        <v>266</v>
      </c>
      <c r="E14" s="47" t="s">
        <v>267</v>
      </c>
      <c r="F14" s="48" t="s">
        <v>268</v>
      </c>
    </row>
    <row r="15" customFormat="false" ht="28.35" hidden="false" customHeight="false" outlineLevel="0" collapsed="false">
      <c r="A15" s="47" t="n">
        <v>14</v>
      </c>
      <c r="B15" s="47" t="s">
        <v>47</v>
      </c>
      <c r="C15" s="47" t="s">
        <v>288</v>
      </c>
      <c r="D15" s="47" t="s">
        <v>266</v>
      </c>
      <c r="E15" s="47" t="s">
        <v>267</v>
      </c>
      <c r="F15" s="48" t="s">
        <v>268</v>
      </c>
    </row>
    <row r="16" customFormat="false" ht="16.5" hidden="false" customHeight="true" outlineLevel="0" collapsed="false">
      <c r="A16" s="47" t="n">
        <v>15</v>
      </c>
      <c r="B16" s="47" t="s">
        <v>289</v>
      </c>
      <c r="C16" s="47" t="s">
        <v>290</v>
      </c>
      <c r="D16" s="47"/>
      <c r="E16" s="47"/>
      <c r="F16" s="50" t="s">
        <v>291</v>
      </c>
    </row>
    <row r="17" customFormat="false" ht="15" hidden="false" customHeight="false" outlineLevel="0" collapsed="false">
      <c r="F17" s="51"/>
    </row>
    <row r="18" customFormat="false" ht="15" hidden="false" customHeight="false" outlineLevel="0" collapsed="false">
      <c r="F18" s="51"/>
    </row>
    <row r="19" customFormat="false" ht="15" hidden="false" customHeight="false" outlineLevel="0" collapsed="false">
      <c r="F19" s="51"/>
    </row>
    <row r="20" customFormat="false" ht="15" hidden="false" customHeight="false" outlineLevel="0" collapsed="false">
      <c r="F20" s="51"/>
    </row>
    <row r="21" customFormat="false" ht="15.75" hidden="false" customHeight="true" outlineLevel="0" collapsed="false">
      <c r="F21" s="51"/>
    </row>
    <row r="22" customFormat="false" ht="15.75" hidden="false" customHeight="true" outlineLevel="0" collapsed="false">
      <c r="F22" s="51"/>
    </row>
    <row r="23" customFormat="false" ht="15.75" hidden="false" customHeight="true" outlineLevel="0" collapsed="false">
      <c r="F23" s="51"/>
    </row>
    <row r="24" customFormat="false" ht="15.75" hidden="false" customHeight="true" outlineLevel="0" collapsed="false">
      <c r="F24" s="51"/>
    </row>
    <row r="25" customFormat="false" ht="15.75" hidden="false" customHeight="true" outlineLevel="0" collapsed="false">
      <c r="F25" s="51"/>
    </row>
    <row r="26" customFormat="false" ht="15.75" hidden="false" customHeight="true" outlineLevel="0" collapsed="false">
      <c r="F26" s="51"/>
    </row>
    <row r="27" customFormat="false" ht="15.75" hidden="false" customHeight="true" outlineLevel="0" collapsed="false">
      <c r="F27" s="51"/>
    </row>
    <row r="28" customFormat="false" ht="15.75" hidden="false" customHeight="true" outlineLevel="0" collapsed="false">
      <c r="F28" s="51"/>
    </row>
    <row r="29" customFormat="false" ht="15.75" hidden="false" customHeight="true" outlineLevel="0" collapsed="false">
      <c r="F29" s="51"/>
    </row>
    <row r="30" customFormat="false" ht="15.75" hidden="false" customHeight="true" outlineLevel="0" collapsed="false">
      <c r="F30" s="51"/>
    </row>
    <row r="31" customFormat="false" ht="15.75" hidden="false" customHeight="true" outlineLevel="0" collapsed="false">
      <c r="F31" s="51"/>
    </row>
    <row r="32" customFormat="false" ht="15.75" hidden="false" customHeight="true" outlineLevel="0" collapsed="false">
      <c r="F32" s="51"/>
    </row>
    <row r="33" customFormat="false" ht="15.75" hidden="false" customHeight="true" outlineLevel="0" collapsed="false">
      <c r="F33" s="51"/>
    </row>
    <row r="34" customFormat="false" ht="15.75" hidden="false" customHeight="true" outlineLevel="0" collapsed="false">
      <c r="F34" s="51"/>
    </row>
    <row r="35" customFormat="false" ht="15.75" hidden="false" customHeight="true" outlineLevel="0" collapsed="false">
      <c r="F35" s="51"/>
    </row>
    <row r="36" customFormat="false" ht="15.75" hidden="false" customHeight="true" outlineLevel="0" collapsed="false">
      <c r="F36" s="51"/>
    </row>
    <row r="37" customFormat="false" ht="15.75" hidden="false" customHeight="true" outlineLevel="0" collapsed="false">
      <c r="F37" s="51"/>
    </row>
    <row r="38" customFormat="false" ht="15.75" hidden="false" customHeight="true" outlineLevel="0" collapsed="false">
      <c r="F38" s="51"/>
    </row>
    <row r="39" customFormat="false" ht="15.75" hidden="false" customHeight="true" outlineLevel="0" collapsed="false">
      <c r="F39" s="51"/>
    </row>
    <row r="40" customFormat="false" ht="15.75" hidden="false" customHeight="true" outlineLevel="0" collapsed="false">
      <c r="F40" s="51"/>
    </row>
    <row r="41" customFormat="false" ht="15.75" hidden="false" customHeight="true" outlineLevel="0" collapsed="false">
      <c r="F41" s="51"/>
    </row>
    <row r="42" customFormat="false" ht="15.75" hidden="false" customHeight="true" outlineLevel="0" collapsed="false">
      <c r="F42" s="51"/>
    </row>
    <row r="43" customFormat="false" ht="15.75" hidden="false" customHeight="true" outlineLevel="0" collapsed="false">
      <c r="F43" s="51"/>
    </row>
    <row r="44" customFormat="false" ht="15.75" hidden="false" customHeight="true" outlineLevel="0" collapsed="false">
      <c r="F44" s="51"/>
    </row>
    <row r="45" customFormat="false" ht="15.75" hidden="false" customHeight="true" outlineLevel="0" collapsed="false">
      <c r="F45" s="51"/>
    </row>
    <row r="46" customFormat="false" ht="15.75" hidden="false" customHeight="true" outlineLevel="0" collapsed="false">
      <c r="F46" s="51"/>
    </row>
    <row r="47" customFormat="false" ht="15.75" hidden="false" customHeight="true" outlineLevel="0" collapsed="false">
      <c r="F47" s="51"/>
    </row>
    <row r="48" customFormat="false" ht="15.75" hidden="false" customHeight="true" outlineLevel="0" collapsed="false">
      <c r="F48" s="51"/>
    </row>
    <row r="49" customFormat="false" ht="15.75" hidden="false" customHeight="true" outlineLevel="0" collapsed="false">
      <c r="F49" s="51"/>
    </row>
    <row r="50" customFormat="false" ht="15.75" hidden="false" customHeight="true" outlineLevel="0" collapsed="false">
      <c r="F50" s="51"/>
    </row>
    <row r="51" customFormat="false" ht="15.75" hidden="false" customHeight="true" outlineLevel="0" collapsed="false">
      <c r="F51" s="51"/>
    </row>
    <row r="52" customFormat="false" ht="15.75" hidden="false" customHeight="true" outlineLevel="0" collapsed="false">
      <c r="F52" s="51"/>
    </row>
    <row r="53" customFormat="false" ht="15.75" hidden="false" customHeight="true" outlineLevel="0" collapsed="false">
      <c r="F53" s="51"/>
    </row>
    <row r="54" customFormat="false" ht="15.75" hidden="false" customHeight="true" outlineLevel="0" collapsed="false">
      <c r="F54" s="51"/>
    </row>
    <row r="55" customFormat="false" ht="15.75" hidden="false" customHeight="true" outlineLevel="0" collapsed="false">
      <c r="F55" s="51"/>
    </row>
    <row r="56" customFormat="false" ht="15.75" hidden="false" customHeight="true" outlineLevel="0" collapsed="false">
      <c r="F56" s="51"/>
    </row>
    <row r="57" customFormat="false" ht="15.75" hidden="false" customHeight="true" outlineLevel="0" collapsed="false">
      <c r="F57" s="51"/>
    </row>
    <row r="58" customFormat="false" ht="15.75" hidden="false" customHeight="true" outlineLevel="0" collapsed="false">
      <c r="F58" s="51"/>
    </row>
    <row r="59" customFormat="false" ht="15.75" hidden="false" customHeight="true" outlineLevel="0" collapsed="false">
      <c r="F59" s="51"/>
    </row>
    <row r="60" customFormat="false" ht="15.75" hidden="false" customHeight="true" outlineLevel="0" collapsed="false">
      <c r="F60" s="51"/>
    </row>
    <row r="61" customFormat="false" ht="15.75" hidden="false" customHeight="true" outlineLevel="0" collapsed="false">
      <c r="F61" s="51"/>
    </row>
    <row r="62" customFormat="false" ht="15.75" hidden="false" customHeight="true" outlineLevel="0" collapsed="false">
      <c r="F62" s="51"/>
    </row>
    <row r="63" customFormat="false" ht="15.75" hidden="false" customHeight="true" outlineLevel="0" collapsed="false">
      <c r="F63" s="51"/>
    </row>
    <row r="64" customFormat="false" ht="15.75" hidden="false" customHeight="true" outlineLevel="0" collapsed="false">
      <c r="F64" s="51"/>
    </row>
    <row r="65" customFormat="false" ht="15.75" hidden="false" customHeight="true" outlineLevel="0" collapsed="false">
      <c r="F65" s="51"/>
    </row>
    <row r="66" customFormat="false" ht="15.75" hidden="false" customHeight="true" outlineLevel="0" collapsed="false">
      <c r="F66" s="51"/>
    </row>
    <row r="67" customFormat="false" ht="15.75" hidden="false" customHeight="true" outlineLevel="0" collapsed="false">
      <c r="F67" s="51"/>
    </row>
    <row r="68" customFormat="false" ht="15.75" hidden="false" customHeight="true" outlineLevel="0" collapsed="false">
      <c r="F68" s="51"/>
    </row>
    <row r="69" customFormat="false" ht="15.75" hidden="false" customHeight="true" outlineLevel="0" collapsed="false">
      <c r="F69" s="51"/>
    </row>
    <row r="70" customFormat="false" ht="15.75" hidden="false" customHeight="true" outlineLevel="0" collapsed="false">
      <c r="F70" s="51"/>
    </row>
    <row r="71" customFormat="false" ht="15.75" hidden="false" customHeight="true" outlineLevel="0" collapsed="false">
      <c r="F71" s="51"/>
    </row>
    <row r="72" customFormat="false" ht="15.75" hidden="false" customHeight="true" outlineLevel="0" collapsed="false">
      <c r="F72" s="51"/>
    </row>
    <row r="73" customFormat="false" ht="15.75" hidden="false" customHeight="true" outlineLevel="0" collapsed="false">
      <c r="F73" s="51"/>
    </row>
    <row r="74" customFormat="false" ht="15.75" hidden="false" customHeight="true" outlineLevel="0" collapsed="false">
      <c r="F74" s="51"/>
    </row>
    <row r="75" customFormat="false" ht="15.75" hidden="false" customHeight="true" outlineLevel="0" collapsed="false">
      <c r="F75" s="51"/>
    </row>
    <row r="76" customFormat="false" ht="15.75" hidden="false" customHeight="true" outlineLevel="0" collapsed="false">
      <c r="F76" s="51"/>
    </row>
    <row r="77" customFormat="false" ht="15.75" hidden="false" customHeight="true" outlineLevel="0" collapsed="false">
      <c r="F77" s="51"/>
    </row>
    <row r="78" customFormat="false" ht="15.75" hidden="false" customHeight="true" outlineLevel="0" collapsed="false">
      <c r="F78" s="51"/>
    </row>
    <row r="79" customFormat="false" ht="15.75" hidden="false" customHeight="true" outlineLevel="0" collapsed="false">
      <c r="F79" s="51"/>
    </row>
    <row r="80" customFormat="false" ht="15.75" hidden="false" customHeight="true" outlineLevel="0" collapsed="false">
      <c r="F80" s="51"/>
    </row>
    <row r="81" customFormat="false" ht="15.75" hidden="false" customHeight="true" outlineLevel="0" collapsed="false">
      <c r="F81" s="51"/>
    </row>
    <row r="82" customFormat="false" ht="15.75" hidden="false" customHeight="true" outlineLevel="0" collapsed="false">
      <c r="F82" s="51"/>
    </row>
    <row r="83" customFormat="false" ht="15.75" hidden="false" customHeight="true" outlineLevel="0" collapsed="false">
      <c r="F83" s="51"/>
    </row>
    <row r="84" customFormat="false" ht="15.75" hidden="false" customHeight="true" outlineLevel="0" collapsed="false">
      <c r="F84" s="51"/>
    </row>
    <row r="85" customFormat="false" ht="15.75" hidden="false" customHeight="true" outlineLevel="0" collapsed="false">
      <c r="F85" s="51"/>
    </row>
    <row r="86" customFormat="false" ht="15.75" hidden="false" customHeight="true" outlineLevel="0" collapsed="false">
      <c r="F86" s="51"/>
    </row>
    <row r="87" customFormat="false" ht="15.75" hidden="false" customHeight="true" outlineLevel="0" collapsed="false">
      <c r="F87" s="51"/>
    </row>
    <row r="88" customFormat="false" ht="15.75" hidden="false" customHeight="true" outlineLevel="0" collapsed="false">
      <c r="F88" s="51"/>
    </row>
    <row r="89" customFormat="false" ht="15.75" hidden="false" customHeight="true" outlineLevel="0" collapsed="false">
      <c r="F89" s="51"/>
    </row>
    <row r="90" customFormat="false" ht="15.75" hidden="false" customHeight="true" outlineLevel="0" collapsed="false">
      <c r="F90" s="51"/>
    </row>
    <row r="91" customFormat="false" ht="15.75" hidden="false" customHeight="true" outlineLevel="0" collapsed="false">
      <c r="F91" s="51"/>
    </row>
    <row r="92" customFormat="false" ht="15.75" hidden="false" customHeight="true" outlineLevel="0" collapsed="false">
      <c r="F92" s="51"/>
    </row>
    <row r="93" customFormat="false" ht="15.75" hidden="false" customHeight="true" outlineLevel="0" collapsed="false">
      <c r="F93" s="51"/>
    </row>
    <row r="94" customFormat="false" ht="15.75" hidden="false" customHeight="true" outlineLevel="0" collapsed="false">
      <c r="F94" s="51"/>
    </row>
    <row r="95" customFormat="false" ht="15.75" hidden="false" customHeight="true" outlineLevel="0" collapsed="false">
      <c r="F95" s="51"/>
    </row>
    <row r="96" customFormat="false" ht="15.75" hidden="false" customHeight="true" outlineLevel="0" collapsed="false">
      <c r="F96" s="51"/>
    </row>
    <row r="97" customFormat="false" ht="15.75" hidden="false" customHeight="true" outlineLevel="0" collapsed="false">
      <c r="F97" s="51"/>
    </row>
    <row r="98" customFormat="false" ht="15.75" hidden="false" customHeight="true" outlineLevel="0" collapsed="false">
      <c r="F98" s="51"/>
    </row>
    <row r="99" customFormat="false" ht="15.75" hidden="false" customHeight="true" outlineLevel="0" collapsed="false">
      <c r="F99" s="51"/>
    </row>
    <row r="100" customFormat="false" ht="15.75" hidden="false" customHeight="true" outlineLevel="0" collapsed="false">
      <c r="F100" s="51"/>
    </row>
    <row r="101" customFormat="false" ht="15.75" hidden="false" customHeight="true" outlineLevel="0" collapsed="false">
      <c r="F101" s="51"/>
    </row>
    <row r="102" customFormat="false" ht="15.75" hidden="false" customHeight="true" outlineLevel="0" collapsed="false">
      <c r="F102" s="51"/>
    </row>
    <row r="103" customFormat="false" ht="15.75" hidden="false" customHeight="true" outlineLevel="0" collapsed="false">
      <c r="F103" s="51"/>
    </row>
    <row r="104" customFormat="false" ht="15.75" hidden="false" customHeight="true" outlineLevel="0" collapsed="false">
      <c r="F104" s="51"/>
    </row>
    <row r="105" customFormat="false" ht="15.75" hidden="false" customHeight="true" outlineLevel="0" collapsed="false">
      <c r="F105" s="51"/>
    </row>
    <row r="106" customFormat="false" ht="15.75" hidden="false" customHeight="true" outlineLevel="0" collapsed="false">
      <c r="F106" s="51"/>
    </row>
    <row r="107" customFormat="false" ht="15.75" hidden="false" customHeight="true" outlineLevel="0" collapsed="false">
      <c r="F107" s="51"/>
    </row>
    <row r="108" customFormat="false" ht="15.75" hidden="false" customHeight="true" outlineLevel="0" collapsed="false">
      <c r="F108" s="51"/>
    </row>
    <row r="109" customFormat="false" ht="15.75" hidden="false" customHeight="true" outlineLevel="0" collapsed="false">
      <c r="F109" s="51"/>
    </row>
    <row r="110" customFormat="false" ht="15.75" hidden="false" customHeight="true" outlineLevel="0" collapsed="false">
      <c r="F110" s="51"/>
    </row>
    <row r="111" customFormat="false" ht="15.75" hidden="false" customHeight="true" outlineLevel="0" collapsed="false">
      <c r="F111" s="51"/>
    </row>
    <row r="112" customFormat="false" ht="15.75" hidden="false" customHeight="true" outlineLevel="0" collapsed="false">
      <c r="F112" s="51"/>
    </row>
    <row r="113" customFormat="false" ht="15.75" hidden="false" customHeight="true" outlineLevel="0" collapsed="false">
      <c r="F113" s="51"/>
    </row>
    <row r="114" customFormat="false" ht="15.75" hidden="false" customHeight="true" outlineLevel="0" collapsed="false">
      <c r="F114" s="51"/>
    </row>
    <row r="115" customFormat="false" ht="15.75" hidden="false" customHeight="true" outlineLevel="0" collapsed="false">
      <c r="F115" s="51"/>
    </row>
    <row r="116" customFormat="false" ht="15.75" hidden="false" customHeight="true" outlineLevel="0" collapsed="false">
      <c r="F116" s="51"/>
    </row>
    <row r="117" customFormat="false" ht="15.75" hidden="false" customHeight="true" outlineLevel="0" collapsed="false">
      <c r="F117" s="51"/>
    </row>
    <row r="118" customFormat="false" ht="15.75" hidden="false" customHeight="true" outlineLevel="0" collapsed="false">
      <c r="F118" s="51"/>
    </row>
    <row r="119" customFormat="false" ht="15.75" hidden="false" customHeight="true" outlineLevel="0" collapsed="false">
      <c r="F119" s="51"/>
    </row>
    <row r="120" customFormat="false" ht="15.75" hidden="false" customHeight="true" outlineLevel="0" collapsed="false">
      <c r="F120" s="51"/>
    </row>
    <row r="121" customFormat="false" ht="15.75" hidden="false" customHeight="true" outlineLevel="0" collapsed="false">
      <c r="F121" s="51"/>
    </row>
    <row r="122" customFormat="false" ht="15.75" hidden="false" customHeight="true" outlineLevel="0" collapsed="false">
      <c r="F122" s="51"/>
    </row>
    <row r="123" customFormat="false" ht="15.75" hidden="false" customHeight="true" outlineLevel="0" collapsed="false">
      <c r="F123" s="51"/>
    </row>
    <row r="124" customFormat="false" ht="15.75" hidden="false" customHeight="true" outlineLevel="0" collapsed="false">
      <c r="F124" s="51"/>
    </row>
    <row r="125" customFormat="false" ht="15.75" hidden="false" customHeight="true" outlineLevel="0" collapsed="false">
      <c r="F125" s="51"/>
    </row>
    <row r="126" customFormat="false" ht="15.75" hidden="false" customHeight="true" outlineLevel="0" collapsed="false">
      <c r="F126" s="51"/>
    </row>
    <row r="127" customFormat="false" ht="15.75" hidden="false" customHeight="true" outlineLevel="0" collapsed="false">
      <c r="F127" s="51"/>
    </row>
    <row r="128" customFormat="false" ht="15.75" hidden="false" customHeight="true" outlineLevel="0" collapsed="false">
      <c r="F128" s="51"/>
    </row>
    <row r="129" customFormat="false" ht="15.75" hidden="false" customHeight="true" outlineLevel="0" collapsed="false">
      <c r="F129" s="51"/>
    </row>
    <row r="130" customFormat="false" ht="15.75" hidden="false" customHeight="true" outlineLevel="0" collapsed="false">
      <c r="F130" s="51"/>
    </row>
    <row r="131" customFormat="false" ht="15.75" hidden="false" customHeight="true" outlineLevel="0" collapsed="false">
      <c r="F131" s="51"/>
    </row>
    <row r="132" customFormat="false" ht="15.75" hidden="false" customHeight="true" outlineLevel="0" collapsed="false">
      <c r="F132" s="51"/>
    </row>
    <row r="133" customFormat="false" ht="15.75" hidden="false" customHeight="true" outlineLevel="0" collapsed="false">
      <c r="F133" s="51"/>
    </row>
    <row r="134" customFormat="false" ht="15.75" hidden="false" customHeight="true" outlineLevel="0" collapsed="false">
      <c r="F134" s="51"/>
    </row>
    <row r="135" customFormat="false" ht="15.75" hidden="false" customHeight="true" outlineLevel="0" collapsed="false">
      <c r="F135" s="51"/>
    </row>
    <row r="136" customFormat="false" ht="15.75" hidden="false" customHeight="true" outlineLevel="0" collapsed="false">
      <c r="F136" s="51"/>
    </row>
    <row r="137" customFormat="false" ht="15.75" hidden="false" customHeight="true" outlineLevel="0" collapsed="false">
      <c r="F137" s="51"/>
    </row>
    <row r="138" customFormat="false" ht="15.75" hidden="false" customHeight="true" outlineLevel="0" collapsed="false">
      <c r="F138" s="51"/>
    </row>
    <row r="139" customFormat="false" ht="15.75" hidden="false" customHeight="true" outlineLevel="0" collapsed="false">
      <c r="F139" s="51"/>
    </row>
    <row r="140" customFormat="false" ht="15.75" hidden="false" customHeight="true" outlineLevel="0" collapsed="false">
      <c r="F140" s="51"/>
    </row>
    <row r="141" customFormat="false" ht="15.75" hidden="false" customHeight="true" outlineLevel="0" collapsed="false">
      <c r="F141" s="51"/>
    </row>
    <row r="142" customFormat="false" ht="15.75" hidden="false" customHeight="true" outlineLevel="0" collapsed="false">
      <c r="F142" s="51"/>
    </row>
    <row r="143" customFormat="false" ht="15.75" hidden="false" customHeight="true" outlineLevel="0" collapsed="false">
      <c r="F143" s="51"/>
    </row>
    <row r="144" customFormat="false" ht="15.75" hidden="false" customHeight="true" outlineLevel="0" collapsed="false">
      <c r="F144" s="51"/>
    </row>
    <row r="145" customFormat="false" ht="15.75" hidden="false" customHeight="true" outlineLevel="0" collapsed="false">
      <c r="F145" s="51"/>
    </row>
    <row r="146" customFormat="false" ht="15.75" hidden="false" customHeight="true" outlineLevel="0" collapsed="false">
      <c r="F146" s="51"/>
    </row>
    <row r="147" customFormat="false" ht="15.75" hidden="false" customHeight="true" outlineLevel="0" collapsed="false">
      <c r="F147" s="51"/>
    </row>
    <row r="148" customFormat="false" ht="15.75" hidden="false" customHeight="true" outlineLevel="0" collapsed="false">
      <c r="F148" s="51"/>
    </row>
    <row r="149" customFormat="false" ht="15.75" hidden="false" customHeight="true" outlineLevel="0" collapsed="false">
      <c r="F149" s="51"/>
    </row>
    <row r="150" customFormat="false" ht="15.75" hidden="false" customHeight="true" outlineLevel="0" collapsed="false">
      <c r="F150" s="51"/>
    </row>
    <row r="151" customFormat="false" ht="15.75" hidden="false" customHeight="true" outlineLevel="0" collapsed="false">
      <c r="F151" s="51"/>
    </row>
    <row r="152" customFormat="false" ht="15.75" hidden="false" customHeight="true" outlineLevel="0" collapsed="false">
      <c r="F152" s="51"/>
    </row>
    <row r="153" customFormat="false" ht="15.75" hidden="false" customHeight="true" outlineLevel="0" collapsed="false">
      <c r="F153" s="51"/>
    </row>
    <row r="154" customFormat="false" ht="15.75" hidden="false" customHeight="true" outlineLevel="0" collapsed="false">
      <c r="F154" s="51"/>
    </row>
    <row r="155" customFormat="false" ht="15.75" hidden="false" customHeight="true" outlineLevel="0" collapsed="false">
      <c r="F155" s="51"/>
    </row>
    <row r="156" customFormat="false" ht="15.75" hidden="false" customHeight="true" outlineLevel="0" collapsed="false">
      <c r="F156" s="51"/>
    </row>
    <row r="157" customFormat="false" ht="15.75" hidden="false" customHeight="true" outlineLevel="0" collapsed="false">
      <c r="F157" s="51"/>
    </row>
    <row r="158" customFormat="false" ht="15.75" hidden="false" customHeight="true" outlineLevel="0" collapsed="false">
      <c r="F158" s="51"/>
    </row>
    <row r="159" customFormat="false" ht="15.75" hidden="false" customHeight="true" outlineLevel="0" collapsed="false">
      <c r="F159" s="51"/>
    </row>
    <row r="160" customFormat="false" ht="15.75" hidden="false" customHeight="true" outlineLevel="0" collapsed="false">
      <c r="F160" s="51"/>
    </row>
    <row r="161" customFormat="false" ht="15.75" hidden="false" customHeight="true" outlineLevel="0" collapsed="false">
      <c r="F161" s="51"/>
    </row>
    <row r="162" customFormat="false" ht="15.75" hidden="false" customHeight="true" outlineLevel="0" collapsed="false">
      <c r="F162" s="51"/>
    </row>
    <row r="163" customFormat="false" ht="15.75" hidden="false" customHeight="true" outlineLevel="0" collapsed="false">
      <c r="F163" s="51"/>
    </row>
    <row r="164" customFormat="false" ht="15.75" hidden="false" customHeight="true" outlineLevel="0" collapsed="false">
      <c r="F164" s="51"/>
    </row>
    <row r="165" customFormat="false" ht="15.75" hidden="false" customHeight="true" outlineLevel="0" collapsed="false">
      <c r="F165" s="51"/>
    </row>
    <row r="166" customFormat="false" ht="15.75" hidden="false" customHeight="true" outlineLevel="0" collapsed="false">
      <c r="F166" s="51"/>
    </row>
    <row r="167" customFormat="false" ht="15.75" hidden="false" customHeight="true" outlineLevel="0" collapsed="false">
      <c r="F167" s="51"/>
    </row>
    <row r="168" customFormat="false" ht="15.75" hidden="false" customHeight="true" outlineLevel="0" collapsed="false">
      <c r="F168" s="51"/>
    </row>
    <row r="169" customFormat="false" ht="15.75" hidden="false" customHeight="true" outlineLevel="0" collapsed="false">
      <c r="F169" s="51"/>
    </row>
    <row r="170" customFormat="false" ht="15.75" hidden="false" customHeight="true" outlineLevel="0" collapsed="false">
      <c r="F170" s="51"/>
    </row>
    <row r="171" customFormat="false" ht="15.75" hidden="false" customHeight="true" outlineLevel="0" collapsed="false">
      <c r="F171" s="51"/>
    </row>
    <row r="172" customFormat="false" ht="15.75" hidden="false" customHeight="true" outlineLevel="0" collapsed="false">
      <c r="F172" s="51"/>
    </row>
    <row r="173" customFormat="false" ht="15.75" hidden="false" customHeight="true" outlineLevel="0" collapsed="false">
      <c r="F173" s="51"/>
    </row>
    <row r="174" customFormat="false" ht="15.75" hidden="false" customHeight="true" outlineLevel="0" collapsed="false">
      <c r="F174" s="51"/>
    </row>
    <row r="175" customFormat="false" ht="15.75" hidden="false" customHeight="true" outlineLevel="0" collapsed="false">
      <c r="F175" s="51"/>
    </row>
    <row r="176" customFormat="false" ht="15.75" hidden="false" customHeight="true" outlineLevel="0" collapsed="false">
      <c r="F176" s="51"/>
    </row>
    <row r="177" customFormat="false" ht="15.75" hidden="false" customHeight="true" outlineLevel="0" collapsed="false">
      <c r="F177" s="51"/>
    </row>
    <row r="178" customFormat="false" ht="15.75" hidden="false" customHeight="true" outlineLevel="0" collapsed="false">
      <c r="F178" s="51"/>
    </row>
    <row r="179" customFormat="false" ht="15.75" hidden="false" customHeight="true" outlineLevel="0" collapsed="false">
      <c r="F179" s="51"/>
    </row>
    <row r="180" customFormat="false" ht="15.75" hidden="false" customHeight="true" outlineLevel="0" collapsed="false">
      <c r="F180" s="51"/>
    </row>
    <row r="181" customFormat="false" ht="15.75" hidden="false" customHeight="true" outlineLevel="0" collapsed="false">
      <c r="F181" s="51"/>
    </row>
    <row r="182" customFormat="false" ht="15.75" hidden="false" customHeight="true" outlineLevel="0" collapsed="false">
      <c r="F182" s="51"/>
    </row>
    <row r="183" customFormat="false" ht="15.75" hidden="false" customHeight="true" outlineLevel="0" collapsed="false">
      <c r="F183" s="51"/>
    </row>
    <row r="184" customFormat="false" ht="15.75" hidden="false" customHeight="true" outlineLevel="0" collapsed="false">
      <c r="F184" s="51"/>
    </row>
    <row r="185" customFormat="false" ht="15.75" hidden="false" customHeight="true" outlineLevel="0" collapsed="false">
      <c r="F185" s="51"/>
    </row>
    <row r="186" customFormat="false" ht="15.75" hidden="false" customHeight="true" outlineLevel="0" collapsed="false">
      <c r="F186" s="51"/>
    </row>
    <row r="187" customFormat="false" ht="15.75" hidden="false" customHeight="true" outlineLevel="0" collapsed="false">
      <c r="F187" s="51"/>
    </row>
    <row r="188" customFormat="false" ht="15.75" hidden="false" customHeight="true" outlineLevel="0" collapsed="false">
      <c r="F188" s="51"/>
    </row>
    <row r="189" customFormat="false" ht="15.75" hidden="false" customHeight="true" outlineLevel="0" collapsed="false">
      <c r="F189" s="51"/>
    </row>
    <row r="190" customFormat="false" ht="15.75" hidden="false" customHeight="true" outlineLevel="0" collapsed="false">
      <c r="F190" s="51"/>
    </row>
    <row r="191" customFormat="false" ht="15.75" hidden="false" customHeight="true" outlineLevel="0" collapsed="false">
      <c r="F191" s="51"/>
    </row>
    <row r="192" customFormat="false" ht="15.75" hidden="false" customHeight="true" outlineLevel="0" collapsed="false">
      <c r="F192" s="51"/>
    </row>
    <row r="193" customFormat="false" ht="15.75" hidden="false" customHeight="true" outlineLevel="0" collapsed="false">
      <c r="F193" s="51"/>
    </row>
    <row r="194" customFormat="false" ht="15.75" hidden="false" customHeight="true" outlineLevel="0" collapsed="false">
      <c r="F194" s="51"/>
    </row>
    <row r="195" customFormat="false" ht="15.75" hidden="false" customHeight="true" outlineLevel="0" collapsed="false">
      <c r="F195" s="51"/>
    </row>
    <row r="196" customFormat="false" ht="15.75" hidden="false" customHeight="true" outlineLevel="0" collapsed="false">
      <c r="F196" s="51"/>
    </row>
    <row r="197" customFormat="false" ht="15.75" hidden="false" customHeight="true" outlineLevel="0" collapsed="false">
      <c r="F197" s="51"/>
    </row>
    <row r="198" customFormat="false" ht="15.75" hidden="false" customHeight="true" outlineLevel="0" collapsed="false">
      <c r="F198" s="51"/>
    </row>
    <row r="199" customFormat="false" ht="15.75" hidden="false" customHeight="true" outlineLevel="0" collapsed="false">
      <c r="F199" s="51"/>
    </row>
    <row r="200" customFormat="false" ht="15.75" hidden="false" customHeight="true" outlineLevel="0" collapsed="false">
      <c r="F200" s="51"/>
    </row>
    <row r="201" customFormat="false" ht="15.75" hidden="false" customHeight="true" outlineLevel="0" collapsed="false">
      <c r="F201" s="51"/>
    </row>
    <row r="202" customFormat="false" ht="15.75" hidden="false" customHeight="true" outlineLevel="0" collapsed="false">
      <c r="F202" s="51"/>
    </row>
    <row r="203" customFormat="false" ht="15.75" hidden="false" customHeight="true" outlineLevel="0" collapsed="false">
      <c r="F203" s="51"/>
    </row>
    <row r="204" customFormat="false" ht="15.75" hidden="false" customHeight="true" outlineLevel="0" collapsed="false">
      <c r="F204" s="51"/>
    </row>
    <row r="205" customFormat="false" ht="15.75" hidden="false" customHeight="true" outlineLevel="0" collapsed="false">
      <c r="F205" s="51"/>
    </row>
    <row r="206" customFormat="false" ht="15.75" hidden="false" customHeight="true" outlineLevel="0" collapsed="false">
      <c r="F206" s="51"/>
    </row>
    <row r="207" customFormat="false" ht="15.75" hidden="false" customHeight="true" outlineLevel="0" collapsed="false">
      <c r="F207" s="51"/>
    </row>
    <row r="208" customFormat="false" ht="15.75" hidden="false" customHeight="true" outlineLevel="0" collapsed="false">
      <c r="F208" s="51"/>
    </row>
    <row r="209" customFormat="false" ht="15.75" hidden="false" customHeight="true" outlineLevel="0" collapsed="false">
      <c r="F209" s="51"/>
    </row>
    <row r="210" customFormat="false" ht="15.75" hidden="false" customHeight="true" outlineLevel="0" collapsed="false">
      <c r="F210" s="51"/>
    </row>
    <row r="211" customFormat="false" ht="15.75" hidden="false" customHeight="true" outlineLevel="0" collapsed="false">
      <c r="F211" s="51"/>
    </row>
    <row r="212" customFormat="false" ht="15.75" hidden="false" customHeight="true" outlineLevel="0" collapsed="false">
      <c r="F212" s="51"/>
    </row>
    <row r="213" customFormat="false" ht="15.75" hidden="false" customHeight="true" outlineLevel="0" collapsed="false">
      <c r="F213" s="51"/>
    </row>
    <row r="214" customFormat="false" ht="15.75" hidden="false" customHeight="true" outlineLevel="0" collapsed="false">
      <c r="F214" s="51"/>
    </row>
    <row r="215" customFormat="false" ht="15.75" hidden="false" customHeight="true" outlineLevel="0" collapsed="false">
      <c r="F215" s="51"/>
    </row>
    <row r="216" customFormat="false" ht="15.75" hidden="false" customHeight="true" outlineLevel="0" collapsed="false">
      <c r="F216" s="51"/>
    </row>
    <row r="217" customFormat="false" ht="15.75" hidden="false" customHeight="true" outlineLevel="0" collapsed="false">
      <c r="F217" s="51"/>
    </row>
    <row r="218" customFormat="false" ht="15.75" hidden="false" customHeight="true" outlineLevel="0" collapsed="false">
      <c r="F218" s="51"/>
    </row>
    <row r="219" customFormat="false" ht="15.75" hidden="false" customHeight="true" outlineLevel="0" collapsed="false">
      <c r="F219" s="51"/>
    </row>
    <row r="220" customFormat="false" ht="15.75" hidden="false" customHeight="true" outlineLevel="0" collapsed="false">
      <c r="F220" s="51"/>
    </row>
    <row r="221" customFormat="false" ht="15.75" hidden="false" customHeight="true" outlineLevel="0" collapsed="false">
      <c r="F221" s="51"/>
    </row>
    <row r="222" customFormat="false" ht="15.75" hidden="false" customHeight="true" outlineLevel="0" collapsed="false">
      <c r="F222" s="51"/>
    </row>
    <row r="223" customFormat="false" ht="15.75" hidden="false" customHeight="true" outlineLevel="0" collapsed="false">
      <c r="F223" s="51"/>
    </row>
    <row r="224" customFormat="false" ht="15.75" hidden="false" customHeight="true" outlineLevel="0" collapsed="false">
      <c r="F224" s="51"/>
    </row>
    <row r="225" customFormat="false" ht="15.75" hidden="false" customHeight="true" outlineLevel="0" collapsed="false">
      <c r="F225" s="51"/>
    </row>
    <row r="226" customFormat="false" ht="15.75" hidden="false" customHeight="true" outlineLevel="0" collapsed="false">
      <c r="F226" s="51"/>
    </row>
    <row r="227" customFormat="false" ht="15.75" hidden="false" customHeight="true" outlineLevel="0" collapsed="false">
      <c r="F227" s="51"/>
    </row>
    <row r="228" customFormat="false" ht="15.75" hidden="false" customHeight="true" outlineLevel="0" collapsed="false">
      <c r="F228" s="51"/>
    </row>
    <row r="229" customFormat="false" ht="15.75" hidden="false" customHeight="true" outlineLevel="0" collapsed="false">
      <c r="F229" s="51"/>
    </row>
    <row r="230" customFormat="false" ht="15.75" hidden="false" customHeight="true" outlineLevel="0" collapsed="false">
      <c r="F230" s="51"/>
    </row>
    <row r="231" customFormat="false" ht="15.75" hidden="false" customHeight="true" outlineLevel="0" collapsed="false">
      <c r="F231" s="51"/>
    </row>
    <row r="232" customFormat="false" ht="15.75" hidden="false" customHeight="true" outlineLevel="0" collapsed="false">
      <c r="F232" s="51"/>
    </row>
    <row r="233" customFormat="false" ht="15.75" hidden="false" customHeight="true" outlineLevel="0" collapsed="false">
      <c r="F233" s="51"/>
    </row>
    <row r="234" customFormat="false" ht="15.75" hidden="false" customHeight="true" outlineLevel="0" collapsed="false">
      <c r="F234" s="51"/>
    </row>
    <row r="235" customFormat="false" ht="15.75" hidden="false" customHeight="true" outlineLevel="0" collapsed="false">
      <c r="F235" s="51"/>
    </row>
    <row r="236" customFormat="false" ht="15.75" hidden="false" customHeight="true" outlineLevel="0" collapsed="false">
      <c r="F236" s="51"/>
    </row>
    <row r="237" customFormat="false" ht="15.75" hidden="false" customHeight="true" outlineLevel="0" collapsed="false">
      <c r="F237" s="51"/>
    </row>
    <row r="238" customFormat="false" ht="15.75" hidden="false" customHeight="true" outlineLevel="0" collapsed="false">
      <c r="F238" s="51"/>
    </row>
    <row r="239" customFormat="false" ht="15.75" hidden="false" customHeight="true" outlineLevel="0" collapsed="false">
      <c r="F239" s="51"/>
    </row>
    <row r="240" customFormat="false" ht="15.75" hidden="false" customHeight="true" outlineLevel="0" collapsed="false">
      <c r="F240" s="51"/>
    </row>
    <row r="241" customFormat="false" ht="15.75" hidden="false" customHeight="true" outlineLevel="0" collapsed="false">
      <c r="F241" s="51"/>
    </row>
    <row r="242" customFormat="false" ht="15.75" hidden="false" customHeight="true" outlineLevel="0" collapsed="false">
      <c r="F242" s="51"/>
    </row>
    <row r="243" customFormat="false" ht="15.75" hidden="false" customHeight="true" outlineLevel="0" collapsed="false">
      <c r="F243" s="51"/>
    </row>
    <row r="244" customFormat="false" ht="15.75" hidden="false" customHeight="true" outlineLevel="0" collapsed="false">
      <c r="F244" s="51"/>
    </row>
    <row r="245" customFormat="false" ht="15.75" hidden="false" customHeight="true" outlineLevel="0" collapsed="false">
      <c r="F245" s="51"/>
    </row>
    <row r="246" customFormat="false" ht="15.75" hidden="false" customHeight="true" outlineLevel="0" collapsed="false">
      <c r="F246" s="51"/>
    </row>
    <row r="247" customFormat="false" ht="15.75" hidden="false" customHeight="true" outlineLevel="0" collapsed="false">
      <c r="F247" s="51"/>
    </row>
    <row r="248" customFormat="false" ht="15.75" hidden="false" customHeight="true" outlineLevel="0" collapsed="false">
      <c r="F248" s="51"/>
    </row>
    <row r="249" customFormat="false" ht="15.75" hidden="false" customHeight="true" outlineLevel="0" collapsed="false">
      <c r="F249" s="51"/>
    </row>
    <row r="250" customFormat="false" ht="15.75" hidden="false" customHeight="true" outlineLevel="0" collapsed="false">
      <c r="F250" s="51"/>
    </row>
    <row r="251" customFormat="false" ht="15.75" hidden="false" customHeight="true" outlineLevel="0" collapsed="false">
      <c r="F251" s="51"/>
    </row>
    <row r="252" customFormat="false" ht="15.75" hidden="false" customHeight="true" outlineLevel="0" collapsed="false">
      <c r="F252" s="51"/>
    </row>
    <row r="253" customFormat="false" ht="15.75" hidden="false" customHeight="true" outlineLevel="0" collapsed="false">
      <c r="F253" s="51"/>
    </row>
    <row r="254" customFormat="false" ht="15.75" hidden="false" customHeight="true" outlineLevel="0" collapsed="false">
      <c r="F254" s="51"/>
    </row>
    <row r="255" customFormat="false" ht="15.75" hidden="false" customHeight="true" outlineLevel="0" collapsed="false">
      <c r="F255" s="51"/>
    </row>
    <row r="256" customFormat="false" ht="15.75" hidden="false" customHeight="true" outlineLevel="0" collapsed="false">
      <c r="F256" s="51"/>
    </row>
    <row r="257" customFormat="false" ht="15.75" hidden="false" customHeight="true" outlineLevel="0" collapsed="false">
      <c r="F257" s="51"/>
    </row>
    <row r="258" customFormat="false" ht="15.75" hidden="false" customHeight="true" outlineLevel="0" collapsed="false">
      <c r="F258" s="51"/>
    </row>
    <row r="259" customFormat="false" ht="15.75" hidden="false" customHeight="true" outlineLevel="0" collapsed="false">
      <c r="F259" s="51"/>
    </row>
    <row r="260" customFormat="false" ht="15.75" hidden="false" customHeight="true" outlineLevel="0" collapsed="false">
      <c r="F260" s="51"/>
    </row>
    <row r="261" customFormat="false" ht="15.75" hidden="false" customHeight="true" outlineLevel="0" collapsed="false">
      <c r="F261" s="51"/>
    </row>
    <row r="262" customFormat="false" ht="15.75" hidden="false" customHeight="true" outlineLevel="0" collapsed="false">
      <c r="F262" s="51"/>
    </row>
    <row r="263" customFormat="false" ht="15.75" hidden="false" customHeight="true" outlineLevel="0" collapsed="false">
      <c r="F263" s="51"/>
    </row>
    <row r="264" customFormat="false" ht="15.75" hidden="false" customHeight="true" outlineLevel="0" collapsed="false">
      <c r="F264" s="51"/>
    </row>
    <row r="265" customFormat="false" ht="15.75" hidden="false" customHeight="true" outlineLevel="0" collapsed="false">
      <c r="F265" s="51"/>
    </row>
    <row r="266" customFormat="false" ht="15.75" hidden="false" customHeight="true" outlineLevel="0" collapsed="false">
      <c r="F266" s="51"/>
    </row>
    <row r="267" customFormat="false" ht="15.75" hidden="false" customHeight="true" outlineLevel="0" collapsed="false">
      <c r="F267" s="51"/>
    </row>
    <row r="268" customFormat="false" ht="15.75" hidden="false" customHeight="true" outlineLevel="0" collapsed="false">
      <c r="F268" s="51"/>
    </row>
    <row r="269" customFormat="false" ht="15.75" hidden="false" customHeight="true" outlineLevel="0" collapsed="false">
      <c r="F269" s="51"/>
    </row>
    <row r="270" customFormat="false" ht="15.75" hidden="false" customHeight="true" outlineLevel="0" collapsed="false">
      <c r="F270" s="51"/>
    </row>
    <row r="271" customFormat="false" ht="15.75" hidden="false" customHeight="true" outlineLevel="0" collapsed="false">
      <c r="F271" s="51"/>
    </row>
    <row r="272" customFormat="false" ht="15.75" hidden="false" customHeight="true" outlineLevel="0" collapsed="false">
      <c r="F272" s="51"/>
    </row>
    <row r="273" customFormat="false" ht="15.75" hidden="false" customHeight="true" outlineLevel="0" collapsed="false">
      <c r="F273" s="51"/>
    </row>
    <row r="274" customFormat="false" ht="15.75" hidden="false" customHeight="true" outlineLevel="0" collapsed="false">
      <c r="F274" s="51"/>
    </row>
    <row r="275" customFormat="false" ht="15.75" hidden="false" customHeight="true" outlineLevel="0" collapsed="false">
      <c r="F275" s="51"/>
    </row>
    <row r="276" customFormat="false" ht="15.75" hidden="false" customHeight="true" outlineLevel="0" collapsed="false">
      <c r="F276" s="51"/>
    </row>
    <row r="277" customFormat="false" ht="15.75" hidden="false" customHeight="true" outlineLevel="0" collapsed="false">
      <c r="F277" s="51"/>
    </row>
    <row r="278" customFormat="false" ht="15.75" hidden="false" customHeight="true" outlineLevel="0" collapsed="false">
      <c r="F278" s="51"/>
    </row>
    <row r="279" customFormat="false" ht="15.75" hidden="false" customHeight="true" outlineLevel="0" collapsed="false">
      <c r="F279" s="51"/>
    </row>
    <row r="280" customFormat="false" ht="15.75" hidden="false" customHeight="true" outlineLevel="0" collapsed="false">
      <c r="F280" s="51"/>
    </row>
    <row r="281" customFormat="false" ht="15.75" hidden="false" customHeight="true" outlineLevel="0" collapsed="false">
      <c r="F281" s="51"/>
    </row>
    <row r="282" customFormat="false" ht="15.75" hidden="false" customHeight="true" outlineLevel="0" collapsed="false">
      <c r="F282" s="51"/>
    </row>
    <row r="283" customFormat="false" ht="15.75" hidden="false" customHeight="true" outlineLevel="0" collapsed="false">
      <c r="F283" s="51"/>
    </row>
    <row r="284" customFormat="false" ht="15.75" hidden="false" customHeight="true" outlineLevel="0" collapsed="false">
      <c r="F284" s="51"/>
    </row>
    <row r="285" customFormat="false" ht="15.75" hidden="false" customHeight="true" outlineLevel="0" collapsed="false">
      <c r="F285" s="51"/>
    </row>
    <row r="286" customFormat="false" ht="15.75" hidden="false" customHeight="true" outlineLevel="0" collapsed="false">
      <c r="F286" s="51"/>
    </row>
    <row r="287" customFormat="false" ht="15.75" hidden="false" customHeight="true" outlineLevel="0" collapsed="false">
      <c r="F287" s="51"/>
    </row>
    <row r="288" customFormat="false" ht="15.75" hidden="false" customHeight="true" outlineLevel="0" collapsed="false">
      <c r="F288" s="51"/>
    </row>
    <row r="289" customFormat="false" ht="15.75" hidden="false" customHeight="true" outlineLevel="0" collapsed="false">
      <c r="F289" s="51"/>
    </row>
    <row r="290" customFormat="false" ht="15.75" hidden="false" customHeight="true" outlineLevel="0" collapsed="false">
      <c r="F290" s="51"/>
    </row>
    <row r="291" customFormat="false" ht="15.75" hidden="false" customHeight="true" outlineLevel="0" collapsed="false">
      <c r="F291" s="51"/>
    </row>
    <row r="292" customFormat="false" ht="15.75" hidden="false" customHeight="true" outlineLevel="0" collapsed="false">
      <c r="F292" s="51"/>
    </row>
    <row r="293" customFormat="false" ht="15.75" hidden="false" customHeight="true" outlineLevel="0" collapsed="false">
      <c r="F293" s="51"/>
    </row>
    <row r="294" customFormat="false" ht="15.75" hidden="false" customHeight="true" outlineLevel="0" collapsed="false">
      <c r="F294" s="51"/>
    </row>
    <row r="295" customFormat="false" ht="15.75" hidden="false" customHeight="true" outlineLevel="0" collapsed="false">
      <c r="F295" s="51"/>
    </row>
    <row r="296" customFormat="false" ht="15.75" hidden="false" customHeight="true" outlineLevel="0" collapsed="false">
      <c r="F296" s="51"/>
    </row>
    <row r="297" customFormat="false" ht="15.75" hidden="false" customHeight="true" outlineLevel="0" collapsed="false">
      <c r="F297" s="51"/>
    </row>
    <row r="298" customFormat="false" ht="15.75" hidden="false" customHeight="true" outlineLevel="0" collapsed="false">
      <c r="F298" s="51"/>
    </row>
    <row r="299" customFormat="false" ht="15.75" hidden="false" customHeight="true" outlineLevel="0" collapsed="false">
      <c r="F299" s="51"/>
    </row>
    <row r="300" customFormat="false" ht="15.75" hidden="false" customHeight="true" outlineLevel="0" collapsed="false">
      <c r="F300" s="51"/>
    </row>
    <row r="301" customFormat="false" ht="15.75" hidden="false" customHeight="true" outlineLevel="0" collapsed="false">
      <c r="F301" s="51"/>
    </row>
    <row r="302" customFormat="false" ht="15.75" hidden="false" customHeight="true" outlineLevel="0" collapsed="false">
      <c r="F302" s="51"/>
    </row>
    <row r="303" customFormat="false" ht="15.75" hidden="false" customHeight="true" outlineLevel="0" collapsed="false">
      <c r="F303" s="51"/>
    </row>
    <row r="304" customFormat="false" ht="15.75" hidden="false" customHeight="true" outlineLevel="0" collapsed="false">
      <c r="F304" s="51"/>
    </row>
    <row r="305" customFormat="false" ht="15.75" hidden="false" customHeight="true" outlineLevel="0" collapsed="false">
      <c r="F305" s="51"/>
    </row>
    <row r="306" customFormat="false" ht="15.75" hidden="false" customHeight="true" outlineLevel="0" collapsed="false">
      <c r="F306" s="51"/>
    </row>
    <row r="307" customFormat="false" ht="15.75" hidden="false" customHeight="true" outlineLevel="0" collapsed="false">
      <c r="F307" s="51"/>
    </row>
    <row r="308" customFormat="false" ht="15.75" hidden="false" customHeight="true" outlineLevel="0" collapsed="false">
      <c r="F308" s="51"/>
    </row>
    <row r="309" customFormat="false" ht="15.75" hidden="false" customHeight="true" outlineLevel="0" collapsed="false">
      <c r="F309" s="51"/>
    </row>
    <row r="310" customFormat="false" ht="15.75" hidden="false" customHeight="true" outlineLevel="0" collapsed="false">
      <c r="F310" s="51"/>
    </row>
    <row r="311" customFormat="false" ht="15.75" hidden="false" customHeight="true" outlineLevel="0" collapsed="false">
      <c r="F311" s="51"/>
    </row>
    <row r="312" customFormat="false" ht="15.75" hidden="false" customHeight="true" outlineLevel="0" collapsed="false">
      <c r="F312" s="51"/>
    </row>
    <row r="313" customFormat="false" ht="15.75" hidden="false" customHeight="true" outlineLevel="0" collapsed="false">
      <c r="F313" s="51"/>
    </row>
    <row r="314" customFormat="false" ht="15.75" hidden="false" customHeight="true" outlineLevel="0" collapsed="false">
      <c r="F314" s="51"/>
    </row>
    <row r="315" customFormat="false" ht="15.75" hidden="false" customHeight="true" outlineLevel="0" collapsed="false">
      <c r="F315" s="51"/>
    </row>
    <row r="316" customFormat="false" ht="15.75" hidden="false" customHeight="true" outlineLevel="0" collapsed="false">
      <c r="F316" s="51"/>
    </row>
    <row r="317" customFormat="false" ht="15.75" hidden="false" customHeight="true" outlineLevel="0" collapsed="false">
      <c r="F317" s="51"/>
    </row>
    <row r="318" customFormat="false" ht="15.75" hidden="false" customHeight="true" outlineLevel="0" collapsed="false">
      <c r="F318" s="51"/>
    </row>
    <row r="319" customFormat="false" ht="15.75" hidden="false" customHeight="true" outlineLevel="0" collapsed="false">
      <c r="F319" s="51"/>
    </row>
    <row r="320" customFormat="false" ht="15.75" hidden="false" customHeight="true" outlineLevel="0" collapsed="false">
      <c r="F320" s="51"/>
    </row>
    <row r="321" customFormat="false" ht="15.75" hidden="false" customHeight="true" outlineLevel="0" collapsed="false">
      <c r="F321" s="51"/>
    </row>
    <row r="322" customFormat="false" ht="15.75" hidden="false" customHeight="true" outlineLevel="0" collapsed="false">
      <c r="F322" s="51"/>
    </row>
    <row r="323" customFormat="false" ht="15.75" hidden="false" customHeight="true" outlineLevel="0" collapsed="false">
      <c r="F323" s="51"/>
    </row>
    <row r="324" customFormat="false" ht="15.75" hidden="false" customHeight="true" outlineLevel="0" collapsed="false">
      <c r="F324" s="51"/>
    </row>
    <row r="325" customFormat="false" ht="15.75" hidden="false" customHeight="true" outlineLevel="0" collapsed="false">
      <c r="F325" s="51"/>
    </row>
    <row r="326" customFormat="false" ht="15.75" hidden="false" customHeight="true" outlineLevel="0" collapsed="false">
      <c r="F326" s="51"/>
    </row>
    <row r="327" customFormat="false" ht="15.75" hidden="false" customHeight="true" outlineLevel="0" collapsed="false">
      <c r="F327" s="51"/>
    </row>
    <row r="328" customFormat="false" ht="15.75" hidden="false" customHeight="true" outlineLevel="0" collapsed="false">
      <c r="F328" s="51"/>
    </row>
    <row r="329" customFormat="false" ht="15.75" hidden="false" customHeight="true" outlineLevel="0" collapsed="false">
      <c r="F329" s="51"/>
    </row>
    <row r="330" customFormat="false" ht="15.75" hidden="false" customHeight="true" outlineLevel="0" collapsed="false">
      <c r="F330" s="51"/>
    </row>
    <row r="331" customFormat="false" ht="15.75" hidden="false" customHeight="true" outlineLevel="0" collapsed="false">
      <c r="F331" s="51"/>
    </row>
    <row r="332" customFormat="false" ht="15.75" hidden="false" customHeight="true" outlineLevel="0" collapsed="false">
      <c r="F332" s="51"/>
    </row>
    <row r="333" customFormat="false" ht="15.75" hidden="false" customHeight="true" outlineLevel="0" collapsed="false">
      <c r="F333" s="51"/>
    </row>
    <row r="334" customFormat="false" ht="15.75" hidden="false" customHeight="true" outlineLevel="0" collapsed="false">
      <c r="F334" s="51"/>
    </row>
    <row r="335" customFormat="false" ht="15.75" hidden="false" customHeight="true" outlineLevel="0" collapsed="false">
      <c r="F335" s="51"/>
    </row>
    <row r="336" customFormat="false" ht="15.75" hidden="false" customHeight="true" outlineLevel="0" collapsed="false">
      <c r="F336" s="51"/>
    </row>
    <row r="337" customFormat="false" ht="15.75" hidden="false" customHeight="true" outlineLevel="0" collapsed="false">
      <c r="F337" s="51"/>
    </row>
    <row r="338" customFormat="false" ht="15.75" hidden="false" customHeight="true" outlineLevel="0" collapsed="false">
      <c r="F338" s="51"/>
    </row>
    <row r="339" customFormat="false" ht="15.75" hidden="false" customHeight="true" outlineLevel="0" collapsed="false">
      <c r="F339" s="51"/>
    </row>
    <row r="340" customFormat="false" ht="15.75" hidden="false" customHeight="true" outlineLevel="0" collapsed="false">
      <c r="F340" s="51"/>
    </row>
    <row r="341" customFormat="false" ht="15.75" hidden="false" customHeight="true" outlineLevel="0" collapsed="false">
      <c r="F341" s="51"/>
    </row>
    <row r="342" customFormat="false" ht="15.75" hidden="false" customHeight="true" outlineLevel="0" collapsed="false">
      <c r="F342" s="51"/>
    </row>
    <row r="343" customFormat="false" ht="15.75" hidden="false" customHeight="true" outlineLevel="0" collapsed="false">
      <c r="F343" s="51"/>
    </row>
    <row r="344" customFormat="false" ht="15.75" hidden="false" customHeight="true" outlineLevel="0" collapsed="false">
      <c r="F344" s="51"/>
    </row>
    <row r="345" customFormat="false" ht="15.75" hidden="false" customHeight="true" outlineLevel="0" collapsed="false">
      <c r="F345" s="51"/>
    </row>
    <row r="346" customFormat="false" ht="15.75" hidden="false" customHeight="true" outlineLevel="0" collapsed="false">
      <c r="F346" s="51"/>
    </row>
    <row r="347" customFormat="false" ht="15.75" hidden="false" customHeight="true" outlineLevel="0" collapsed="false">
      <c r="F347" s="51"/>
    </row>
    <row r="348" customFormat="false" ht="15.75" hidden="false" customHeight="true" outlineLevel="0" collapsed="false">
      <c r="F348" s="51"/>
    </row>
    <row r="349" customFormat="false" ht="15.75" hidden="false" customHeight="true" outlineLevel="0" collapsed="false">
      <c r="F349" s="51"/>
    </row>
    <row r="350" customFormat="false" ht="15.75" hidden="false" customHeight="true" outlineLevel="0" collapsed="false">
      <c r="F350" s="51"/>
    </row>
    <row r="351" customFormat="false" ht="15.75" hidden="false" customHeight="true" outlineLevel="0" collapsed="false">
      <c r="F351" s="51"/>
    </row>
    <row r="352" customFormat="false" ht="15.75" hidden="false" customHeight="true" outlineLevel="0" collapsed="false">
      <c r="F352" s="51"/>
    </row>
    <row r="353" customFormat="false" ht="15.75" hidden="false" customHeight="true" outlineLevel="0" collapsed="false">
      <c r="F353" s="51"/>
    </row>
    <row r="354" customFormat="false" ht="15.75" hidden="false" customHeight="true" outlineLevel="0" collapsed="false">
      <c r="F354" s="51"/>
    </row>
    <row r="355" customFormat="false" ht="15.75" hidden="false" customHeight="true" outlineLevel="0" collapsed="false">
      <c r="F355" s="51"/>
    </row>
    <row r="356" customFormat="false" ht="15.75" hidden="false" customHeight="true" outlineLevel="0" collapsed="false">
      <c r="F356" s="51"/>
    </row>
    <row r="357" customFormat="false" ht="15.75" hidden="false" customHeight="true" outlineLevel="0" collapsed="false">
      <c r="F357" s="51"/>
    </row>
    <row r="358" customFormat="false" ht="15.75" hidden="false" customHeight="true" outlineLevel="0" collapsed="false">
      <c r="F358" s="51"/>
    </row>
    <row r="359" customFormat="false" ht="15.75" hidden="false" customHeight="true" outlineLevel="0" collapsed="false">
      <c r="F359" s="51"/>
    </row>
    <row r="360" customFormat="false" ht="15.75" hidden="false" customHeight="true" outlineLevel="0" collapsed="false">
      <c r="F360" s="51"/>
    </row>
    <row r="361" customFormat="false" ht="15.75" hidden="false" customHeight="true" outlineLevel="0" collapsed="false">
      <c r="F361" s="51"/>
    </row>
    <row r="362" customFormat="false" ht="15.75" hidden="false" customHeight="true" outlineLevel="0" collapsed="false">
      <c r="F362" s="51"/>
    </row>
    <row r="363" customFormat="false" ht="15.75" hidden="false" customHeight="true" outlineLevel="0" collapsed="false">
      <c r="F363" s="51"/>
    </row>
    <row r="364" customFormat="false" ht="15.75" hidden="false" customHeight="true" outlineLevel="0" collapsed="false">
      <c r="F364" s="51"/>
    </row>
    <row r="365" customFormat="false" ht="15.75" hidden="false" customHeight="true" outlineLevel="0" collapsed="false">
      <c r="F365" s="51"/>
    </row>
    <row r="366" customFormat="false" ht="15.75" hidden="false" customHeight="true" outlineLevel="0" collapsed="false">
      <c r="F366" s="51"/>
    </row>
    <row r="367" customFormat="false" ht="15.75" hidden="false" customHeight="true" outlineLevel="0" collapsed="false">
      <c r="F367" s="51"/>
    </row>
    <row r="368" customFormat="false" ht="15.75" hidden="false" customHeight="true" outlineLevel="0" collapsed="false">
      <c r="F368" s="51"/>
    </row>
    <row r="369" customFormat="false" ht="15.75" hidden="false" customHeight="true" outlineLevel="0" collapsed="false">
      <c r="F369" s="51"/>
    </row>
    <row r="370" customFormat="false" ht="15.75" hidden="false" customHeight="true" outlineLevel="0" collapsed="false">
      <c r="F370" s="51"/>
    </row>
    <row r="371" customFormat="false" ht="15.75" hidden="false" customHeight="true" outlineLevel="0" collapsed="false">
      <c r="F371" s="51"/>
    </row>
    <row r="372" customFormat="false" ht="15.75" hidden="false" customHeight="true" outlineLevel="0" collapsed="false">
      <c r="F372" s="51"/>
    </row>
    <row r="373" customFormat="false" ht="15.75" hidden="false" customHeight="true" outlineLevel="0" collapsed="false">
      <c r="F373" s="51"/>
    </row>
    <row r="374" customFormat="false" ht="15.75" hidden="false" customHeight="true" outlineLevel="0" collapsed="false">
      <c r="F374" s="51"/>
    </row>
    <row r="375" customFormat="false" ht="15.75" hidden="false" customHeight="true" outlineLevel="0" collapsed="false">
      <c r="F375" s="51"/>
    </row>
    <row r="376" customFormat="false" ht="15.75" hidden="false" customHeight="true" outlineLevel="0" collapsed="false">
      <c r="F376" s="51"/>
    </row>
    <row r="377" customFormat="false" ht="15.75" hidden="false" customHeight="true" outlineLevel="0" collapsed="false">
      <c r="F377" s="51"/>
    </row>
    <row r="378" customFormat="false" ht="15.75" hidden="false" customHeight="true" outlineLevel="0" collapsed="false">
      <c r="F378" s="51"/>
    </row>
    <row r="379" customFormat="false" ht="15.75" hidden="false" customHeight="true" outlineLevel="0" collapsed="false">
      <c r="F379" s="51"/>
    </row>
    <row r="380" customFormat="false" ht="15.75" hidden="false" customHeight="true" outlineLevel="0" collapsed="false">
      <c r="F380" s="51"/>
    </row>
    <row r="381" customFormat="false" ht="15.75" hidden="false" customHeight="true" outlineLevel="0" collapsed="false">
      <c r="F381" s="51"/>
    </row>
    <row r="382" customFormat="false" ht="15.75" hidden="false" customHeight="true" outlineLevel="0" collapsed="false">
      <c r="F382" s="51"/>
    </row>
    <row r="383" customFormat="false" ht="15.75" hidden="false" customHeight="true" outlineLevel="0" collapsed="false">
      <c r="F383" s="51"/>
    </row>
    <row r="384" customFormat="false" ht="15.75" hidden="false" customHeight="true" outlineLevel="0" collapsed="false">
      <c r="F384" s="51"/>
    </row>
    <row r="385" customFormat="false" ht="15.75" hidden="false" customHeight="true" outlineLevel="0" collapsed="false">
      <c r="F385" s="51"/>
    </row>
    <row r="386" customFormat="false" ht="15.75" hidden="false" customHeight="true" outlineLevel="0" collapsed="false">
      <c r="F386" s="51"/>
    </row>
    <row r="387" customFormat="false" ht="15.75" hidden="false" customHeight="true" outlineLevel="0" collapsed="false">
      <c r="F387" s="51"/>
    </row>
    <row r="388" customFormat="false" ht="15.75" hidden="false" customHeight="true" outlineLevel="0" collapsed="false">
      <c r="F388" s="51"/>
    </row>
    <row r="389" customFormat="false" ht="15.75" hidden="false" customHeight="true" outlineLevel="0" collapsed="false">
      <c r="F389" s="51"/>
    </row>
    <row r="390" customFormat="false" ht="15.75" hidden="false" customHeight="true" outlineLevel="0" collapsed="false">
      <c r="F390" s="51"/>
    </row>
    <row r="391" customFormat="false" ht="15.75" hidden="false" customHeight="true" outlineLevel="0" collapsed="false">
      <c r="F391" s="51"/>
    </row>
    <row r="392" customFormat="false" ht="15.75" hidden="false" customHeight="true" outlineLevel="0" collapsed="false">
      <c r="F392" s="51"/>
    </row>
    <row r="393" customFormat="false" ht="15.75" hidden="false" customHeight="true" outlineLevel="0" collapsed="false">
      <c r="F393" s="51"/>
    </row>
    <row r="394" customFormat="false" ht="15.75" hidden="false" customHeight="true" outlineLevel="0" collapsed="false">
      <c r="F394" s="51"/>
    </row>
    <row r="395" customFormat="false" ht="15.75" hidden="false" customHeight="true" outlineLevel="0" collapsed="false">
      <c r="F395" s="51"/>
    </row>
    <row r="396" customFormat="false" ht="15.75" hidden="false" customHeight="true" outlineLevel="0" collapsed="false">
      <c r="F396" s="51"/>
    </row>
    <row r="397" customFormat="false" ht="15.75" hidden="false" customHeight="true" outlineLevel="0" collapsed="false">
      <c r="F397" s="51"/>
    </row>
    <row r="398" customFormat="false" ht="15.75" hidden="false" customHeight="true" outlineLevel="0" collapsed="false">
      <c r="F398" s="51"/>
    </row>
    <row r="399" customFormat="false" ht="15.75" hidden="false" customHeight="true" outlineLevel="0" collapsed="false">
      <c r="F399" s="51"/>
    </row>
    <row r="400" customFormat="false" ht="15.75" hidden="false" customHeight="true" outlineLevel="0" collapsed="false">
      <c r="F400" s="51"/>
    </row>
    <row r="401" customFormat="false" ht="15.75" hidden="false" customHeight="true" outlineLevel="0" collapsed="false">
      <c r="F401" s="51"/>
    </row>
    <row r="402" customFormat="false" ht="15.75" hidden="false" customHeight="true" outlineLevel="0" collapsed="false">
      <c r="F402" s="51"/>
    </row>
    <row r="403" customFormat="false" ht="15.75" hidden="false" customHeight="true" outlineLevel="0" collapsed="false">
      <c r="F403" s="51"/>
    </row>
    <row r="404" customFormat="false" ht="15.75" hidden="false" customHeight="true" outlineLevel="0" collapsed="false">
      <c r="F404" s="51"/>
    </row>
    <row r="405" customFormat="false" ht="15.75" hidden="false" customHeight="true" outlineLevel="0" collapsed="false">
      <c r="F405" s="51"/>
    </row>
    <row r="406" customFormat="false" ht="15.75" hidden="false" customHeight="true" outlineLevel="0" collapsed="false">
      <c r="F406" s="51"/>
    </row>
    <row r="407" customFormat="false" ht="15.75" hidden="false" customHeight="true" outlineLevel="0" collapsed="false">
      <c r="F407" s="51"/>
    </row>
    <row r="408" customFormat="false" ht="15.75" hidden="false" customHeight="true" outlineLevel="0" collapsed="false">
      <c r="F408" s="51"/>
    </row>
    <row r="409" customFormat="false" ht="15.75" hidden="false" customHeight="true" outlineLevel="0" collapsed="false">
      <c r="F409" s="51"/>
    </row>
    <row r="410" customFormat="false" ht="15.75" hidden="false" customHeight="true" outlineLevel="0" collapsed="false">
      <c r="F410" s="51"/>
    </row>
    <row r="411" customFormat="false" ht="15.75" hidden="false" customHeight="true" outlineLevel="0" collapsed="false">
      <c r="F411" s="51"/>
    </row>
    <row r="412" customFormat="false" ht="15.75" hidden="false" customHeight="true" outlineLevel="0" collapsed="false">
      <c r="F412" s="51"/>
    </row>
    <row r="413" customFormat="false" ht="15.75" hidden="false" customHeight="true" outlineLevel="0" collapsed="false">
      <c r="F413" s="51"/>
    </row>
    <row r="414" customFormat="false" ht="15.75" hidden="false" customHeight="true" outlineLevel="0" collapsed="false">
      <c r="F414" s="51"/>
    </row>
    <row r="415" customFormat="false" ht="15.75" hidden="false" customHeight="true" outlineLevel="0" collapsed="false">
      <c r="F415" s="51"/>
    </row>
    <row r="416" customFormat="false" ht="15.75" hidden="false" customHeight="true" outlineLevel="0" collapsed="false">
      <c r="F416" s="51"/>
    </row>
    <row r="417" customFormat="false" ht="15.75" hidden="false" customHeight="true" outlineLevel="0" collapsed="false">
      <c r="F417" s="51"/>
    </row>
    <row r="418" customFormat="false" ht="15.75" hidden="false" customHeight="true" outlineLevel="0" collapsed="false">
      <c r="F418" s="51"/>
    </row>
    <row r="419" customFormat="false" ht="15.75" hidden="false" customHeight="true" outlineLevel="0" collapsed="false">
      <c r="F419" s="51"/>
    </row>
    <row r="420" customFormat="false" ht="15.75" hidden="false" customHeight="true" outlineLevel="0" collapsed="false">
      <c r="F420" s="51"/>
    </row>
    <row r="421" customFormat="false" ht="15.75" hidden="false" customHeight="true" outlineLevel="0" collapsed="false">
      <c r="F421" s="51"/>
    </row>
    <row r="422" customFormat="false" ht="15.75" hidden="false" customHeight="true" outlineLevel="0" collapsed="false">
      <c r="F422" s="51"/>
    </row>
    <row r="423" customFormat="false" ht="15.75" hidden="false" customHeight="true" outlineLevel="0" collapsed="false">
      <c r="F423" s="51"/>
    </row>
    <row r="424" customFormat="false" ht="15.75" hidden="false" customHeight="true" outlineLevel="0" collapsed="false">
      <c r="F424" s="51"/>
    </row>
    <row r="425" customFormat="false" ht="15.75" hidden="false" customHeight="true" outlineLevel="0" collapsed="false">
      <c r="F425" s="51"/>
    </row>
    <row r="426" customFormat="false" ht="15.75" hidden="false" customHeight="true" outlineLevel="0" collapsed="false">
      <c r="F426" s="51"/>
    </row>
    <row r="427" customFormat="false" ht="15.75" hidden="false" customHeight="true" outlineLevel="0" collapsed="false">
      <c r="F427" s="51"/>
    </row>
    <row r="428" customFormat="false" ht="15.75" hidden="false" customHeight="true" outlineLevel="0" collapsed="false">
      <c r="F428" s="51"/>
    </row>
    <row r="429" customFormat="false" ht="15.75" hidden="false" customHeight="true" outlineLevel="0" collapsed="false">
      <c r="F429" s="51"/>
    </row>
    <row r="430" customFormat="false" ht="15.75" hidden="false" customHeight="true" outlineLevel="0" collapsed="false">
      <c r="F430" s="51"/>
    </row>
    <row r="431" customFormat="false" ht="15.75" hidden="false" customHeight="true" outlineLevel="0" collapsed="false">
      <c r="F431" s="51"/>
    </row>
    <row r="432" customFormat="false" ht="15.75" hidden="false" customHeight="true" outlineLevel="0" collapsed="false">
      <c r="F432" s="51"/>
    </row>
    <row r="433" customFormat="false" ht="15.75" hidden="false" customHeight="true" outlineLevel="0" collapsed="false">
      <c r="F433" s="51"/>
    </row>
    <row r="434" customFormat="false" ht="15.75" hidden="false" customHeight="true" outlineLevel="0" collapsed="false">
      <c r="F434" s="51"/>
    </row>
    <row r="435" customFormat="false" ht="15.75" hidden="false" customHeight="true" outlineLevel="0" collapsed="false">
      <c r="F435" s="51"/>
    </row>
    <row r="436" customFormat="false" ht="15.75" hidden="false" customHeight="true" outlineLevel="0" collapsed="false">
      <c r="F436" s="51"/>
    </row>
    <row r="437" customFormat="false" ht="15.75" hidden="false" customHeight="true" outlineLevel="0" collapsed="false">
      <c r="F437" s="51"/>
    </row>
    <row r="438" customFormat="false" ht="15.75" hidden="false" customHeight="true" outlineLevel="0" collapsed="false">
      <c r="F438" s="51"/>
    </row>
    <row r="439" customFormat="false" ht="15.75" hidden="false" customHeight="true" outlineLevel="0" collapsed="false">
      <c r="F439" s="51"/>
    </row>
    <row r="440" customFormat="false" ht="15.75" hidden="false" customHeight="true" outlineLevel="0" collapsed="false">
      <c r="F440" s="51"/>
    </row>
    <row r="441" customFormat="false" ht="15.75" hidden="false" customHeight="true" outlineLevel="0" collapsed="false">
      <c r="F441" s="51"/>
    </row>
    <row r="442" customFormat="false" ht="15.75" hidden="false" customHeight="true" outlineLevel="0" collapsed="false">
      <c r="F442" s="51"/>
    </row>
    <row r="443" customFormat="false" ht="15.75" hidden="false" customHeight="true" outlineLevel="0" collapsed="false">
      <c r="F443" s="51"/>
    </row>
    <row r="444" customFormat="false" ht="15.75" hidden="false" customHeight="true" outlineLevel="0" collapsed="false">
      <c r="F444" s="51"/>
    </row>
    <row r="445" customFormat="false" ht="15.75" hidden="false" customHeight="true" outlineLevel="0" collapsed="false">
      <c r="F445" s="51"/>
    </row>
    <row r="446" customFormat="false" ht="15.75" hidden="false" customHeight="true" outlineLevel="0" collapsed="false">
      <c r="F446" s="51"/>
    </row>
    <row r="447" customFormat="false" ht="15.75" hidden="false" customHeight="true" outlineLevel="0" collapsed="false">
      <c r="F447" s="51"/>
    </row>
    <row r="448" customFormat="false" ht="15.75" hidden="false" customHeight="true" outlineLevel="0" collapsed="false">
      <c r="F448" s="51"/>
    </row>
    <row r="449" customFormat="false" ht="15.75" hidden="false" customHeight="true" outlineLevel="0" collapsed="false">
      <c r="F449" s="51"/>
    </row>
    <row r="450" customFormat="false" ht="15.75" hidden="false" customHeight="true" outlineLevel="0" collapsed="false">
      <c r="F450" s="51"/>
    </row>
    <row r="451" customFormat="false" ht="15.75" hidden="false" customHeight="true" outlineLevel="0" collapsed="false">
      <c r="F451" s="51"/>
    </row>
    <row r="452" customFormat="false" ht="15.75" hidden="false" customHeight="true" outlineLevel="0" collapsed="false">
      <c r="F452" s="51"/>
    </row>
    <row r="453" customFormat="false" ht="15.75" hidden="false" customHeight="true" outlineLevel="0" collapsed="false">
      <c r="F453" s="51"/>
    </row>
    <row r="454" customFormat="false" ht="15.75" hidden="false" customHeight="true" outlineLevel="0" collapsed="false">
      <c r="F454" s="51"/>
    </row>
    <row r="455" customFormat="false" ht="15.75" hidden="false" customHeight="true" outlineLevel="0" collapsed="false">
      <c r="F455" s="51"/>
    </row>
    <row r="456" customFormat="false" ht="15.75" hidden="false" customHeight="true" outlineLevel="0" collapsed="false">
      <c r="F456" s="51"/>
    </row>
    <row r="457" customFormat="false" ht="15.75" hidden="false" customHeight="true" outlineLevel="0" collapsed="false">
      <c r="F457" s="51"/>
    </row>
    <row r="458" customFormat="false" ht="15.75" hidden="false" customHeight="true" outlineLevel="0" collapsed="false">
      <c r="F458" s="51"/>
    </row>
    <row r="459" customFormat="false" ht="15.75" hidden="false" customHeight="true" outlineLevel="0" collapsed="false">
      <c r="F459" s="51"/>
    </row>
    <row r="460" customFormat="false" ht="15.75" hidden="false" customHeight="true" outlineLevel="0" collapsed="false">
      <c r="F460" s="51"/>
    </row>
    <row r="461" customFormat="false" ht="15.75" hidden="false" customHeight="true" outlineLevel="0" collapsed="false">
      <c r="F461" s="51"/>
    </row>
    <row r="462" customFormat="false" ht="15.75" hidden="false" customHeight="true" outlineLevel="0" collapsed="false">
      <c r="F462" s="51"/>
    </row>
    <row r="463" customFormat="false" ht="15.75" hidden="false" customHeight="true" outlineLevel="0" collapsed="false">
      <c r="F463" s="51"/>
    </row>
    <row r="464" customFormat="false" ht="15.75" hidden="false" customHeight="true" outlineLevel="0" collapsed="false">
      <c r="F464" s="51"/>
    </row>
    <row r="465" customFormat="false" ht="15.75" hidden="false" customHeight="true" outlineLevel="0" collapsed="false">
      <c r="F465" s="51"/>
    </row>
    <row r="466" customFormat="false" ht="15.75" hidden="false" customHeight="true" outlineLevel="0" collapsed="false">
      <c r="F466" s="51"/>
    </row>
    <row r="467" customFormat="false" ht="15.75" hidden="false" customHeight="true" outlineLevel="0" collapsed="false">
      <c r="F467" s="51"/>
    </row>
    <row r="468" customFormat="false" ht="15.75" hidden="false" customHeight="true" outlineLevel="0" collapsed="false">
      <c r="F468" s="51"/>
    </row>
    <row r="469" customFormat="false" ht="15.75" hidden="false" customHeight="true" outlineLevel="0" collapsed="false">
      <c r="F469" s="51"/>
    </row>
    <row r="470" customFormat="false" ht="15.75" hidden="false" customHeight="true" outlineLevel="0" collapsed="false">
      <c r="F470" s="51"/>
    </row>
    <row r="471" customFormat="false" ht="15.75" hidden="false" customHeight="true" outlineLevel="0" collapsed="false">
      <c r="F471" s="51"/>
    </row>
    <row r="472" customFormat="false" ht="15.75" hidden="false" customHeight="true" outlineLevel="0" collapsed="false">
      <c r="F472" s="51"/>
    </row>
    <row r="473" customFormat="false" ht="15.75" hidden="false" customHeight="true" outlineLevel="0" collapsed="false">
      <c r="F473" s="51"/>
    </row>
    <row r="474" customFormat="false" ht="15.75" hidden="false" customHeight="true" outlineLevel="0" collapsed="false">
      <c r="F474" s="51"/>
    </row>
    <row r="475" customFormat="false" ht="15.75" hidden="false" customHeight="true" outlineLevel="0" collapsed="false">
      <c r="F475" s="51"/>
    </row>
    <row r="476" customFormat="false" ht="15.75" hidden="false" customHeight="true" outlineLevel="0" collapsed="false">
      <c r="F476" s="51"/>
    </row>
    <row r="477" customFormat="false" ht="15.75" hidden="false" customHeight="true" outlineLevel="0" collapsed="false">
      <c r="F477" s="51"/>
    </row>
    <row r="478" customFormat="false" ht="15.75" hidden="false" customHeight="true" outlineLevel="0" collapsed="false">
      <c r="F478" s="51"/>
    </row>
    <row r="479" customFormat="false" ht="15.75" hidden="false" customHeight="true" outlineLevel="0" collapsed="false">
      <c r="F479" s="51"/>
    </row>
    <row r="480" customFormat="false" ht="15.75" hidden="false" customHeight="true" outlineLevel="0" collapsed="false">
      <c r="F480" s="51"/>
    </row>
    <row r="481" customFormat="false" ht="15.75" hidden="false" customHeight="true" outlineLevel="0" collapsed="false">
      <c r="F481" s="51"/>
    </row>
    <row r="482" customFormat="false" ht="15.75" hidden="false" customHeight="true" outlineLevel="0" collapsed="false">
      <c r="F482" s="51"/>
    </row>
    <row r="483" customFormat="false" ht="15.75" hidden="false" customHeight="true" outlineLevel="0" collapsed="false">
      <c r="F483" s="51"/>
    </row>
    <row r="484" customFormat="false" ht="15.75" hidden="false" customHeight="true" outlineLevel="0" collapsed="false">
      <c r="F484" s="51"/>
    </row>
    <row r="485" customFormat="false" ht="15.75" hidden="false" customHeight="true" outlineLevel="0" collapsed="false">
      <c r="F485" s="51"/>
    </row>
    <row r="486" customFormat="false" ht="15.75" hidden="false" customHeight="true" outlineLevel="0" collapsed="false">
      <c r="F486" s="51"/>
    </row>
    <row r="487" customFormat="false" ht="15.75" hidden="false" customHeight="true" outlineLevel="0" collapsed="false">
      <c r="F487" s="51"/>
    </row>
    <row r="488" customFormat="false" ht="15.75" hidden="false" customHeight="true" outlineLevel="0" collapsed="false">
      <c r="F488" s="51"/>
    </row>
    <row r="489" customFormat="false" ht="15.75" hidden="false" customHeight="true" outlineLevel="0" collapsed="false">
      <c r="F489" s="51"/>
    </row>
    <row r="490" customFormat="false" ht="15.75" hidden="false" customHeight="true" outlineLevel="0" collapsed="false">
      <c r="F490" s="51"/>
    </row>
    <row r="491" customFormat="false" ht="15.75" hidden="false" customHeight="true" outlineLevel="0" collapsed="false">
      <c r="F491" s="51"/>
    </row>
    <row r="492" customFormat="false" ht="15.75" hidden="false" customHeight="true" outlineLevel="0" collapsed="false">
      <c r="F492" s="51"/>
    </row>
    <row r="493" customFormat="false" ht="15.75" hidden="false" customHeight="true" outlineLevel="0" collapsed="false">
      <c r="F493" s="51"/>
    </row>
    <row r="494" customFormat="false" ht="15.75" hidden="false" customHeight="true" outlineLevel="0" collapsed="false">
      <c r="F494" s="51"/>
    </row>
    <row r="495" customFormat="false" ht="15.75" hidden="false" customHeight="true" outlineLevel="0" collapsed="false">
      <c r="F495" s="51"/>
    </row>
    <row r="496" customFormat="false" ht="15.75" hidden="false" customHeight="true" outlineLevel="0" collapsed="false">
      <c r="F496" s="51"/>
    </row>
    <row r="497" customFormat="false" ht="15.75" hidden="false" customHeight="true" outlineLevel="0" collapsed="false">
      <c r="F497" s="51"/>
    </row>
    <row r="498" customFormat="false" ht="15.75" hidden="false" customHeight="true" outlineLevel="0" collapsed="false">
      <c r="F498" s="51"/>
    </row>
    <row r="499" customFormat="false" ht="15.75" hidden="false" customHeight="true" outlineLevel="0" collapsed="false">
      <c r="F499" s="51"/>
    </row>
    <row r="500" customFormat="false" ht="15.75" hidden="false" customHeight="true" outlineLevel="0" collapsed="false">
      <c r="F500" s="51"/>
    </row>
    <row r="501" customFormat="false" ht="15.75" hidden="false" customHeight="true" outlineLevel="0" collapsed="false">
      <c r="F501" s="51"/>
    </row>
    <row r="502" customFormat="false" ht="15.75" hidden="false" customHeight="true" outlineLevel="0" collapsed="false">
      <c r="F502" s="51"/>
    </row>
    <row r="503" customFormat="false" ht="15.75" hidden="false" customHeight="true" outlineLevel="0" collapsed="false">
      <c r="F503" s="51"/>
    </row>
    <row r="504" customFormat="false" ht="15.75" hidden="false" customHeight="true" outlineLevel="0" collapsed="false">
      <c r="F504" s="51"/>
    </row>
    <row r="505" customFormat="false" ht="15.75" hidden="false" customHeight="true" outlineLevel="0" collapsed="false">
      <c r="F505" s="51"/>
    </row>
    <row r="506" customFormat="false" ht="15.75" hidden="false" customHeight="true" outlineLevel="0" collapsed="false">
      <c r="F506" s="51"/>
    </row>
    <row r="507" customFormat="false" ht="15.75" hidden="false" customHeight="true" outlineLevel="0" collapsed="false">
      <c r="F507" s="51"/>
    </row>
    <row r="508" customFormat="false" ht="15.75" hidden="false" customHeight="true" outlineLevel="0" collapsed="false">
      <c r="F508" s="51"/>
    </row>
    <row r="509" customFormat="false" ht="15.75" hidden="false" customHeight="true" outlineLevel="0" collapsed="false">
      <c r="F509" s="51"/>
    </row>
    <row r="510" customFormat="false" ht="15.75" hidden="false" customHeight="true" outlineLevel="0" collapsed="false">
      <c r="F510" s="51"/>
    </row>
    <row r="511" customFormat="false" ht="15.75" hidden="false" customHeight="true" outlineLevel="0" collapsed="false">
      <c r="F511" s="51"/>
    </row>
    <row r="512" customFormat="false" ht="15.75" hidden="false" customHeight="true" outlineLevel="0" collapsed="false">
      <c r="F512" s="51"/>
    </row>
    <row r="513" customFormat="false" ht="15.75" hidden="false" customHeight="true" outlineLevel="0" collapsed="false">
      <c r="F513" s="51"/>
    </row>
    <row r="514" customFormat="false" ht="15.75" hidden="false" customHeight="true" outlineLevel="0" collapsed="false">
      <c r="F514" s="51"/>
    </row>
    <row r="515" customFormat="false" ht="15.75" hidden="false" customHeight="true" outlineLevel="0" collapsed="false">
      <c r="F515" s="51"/>
    </row>
    <row r="516" customFormat="false" ht="15.75" hidden="false" customHeight="true" outlineLevel="0" collapsed="false">
      <c r="F516" s="51"/>
    </row>
    <row r="517" customFormat="false" ht="15.75" hidden="false" customHeight="true" outlineLevel="0" collapsed="false">
      <c r="F517" s="51"/>
    </row>
    <row r="518" customFormat="false" ht="15.75" hidden="false" customHeight="true" outlineLevel="0" collapsed="false">
      <c r="F518" s="51"/>
    </row>
    <row r="519" customFormat="false" ht="15.75" hidden="false" customHeight="true" outlineLevel="0" collapsed="false">
      <c r="F519" s="51"/>
    </row>
    <row r="520" customFormat="false" ht="15.75" hidden="false" customHeight="true" outlineLevel="0" collapsed="false">
      <c r="F520" s="51"/>
    </row>
    <row r="521" customFormat="false" ht="15.75" hidden="false" customHeight="true" outlineLevel="0" collapsed="false">
      <c r="F521" s="51"/>
    </row>
    <row r="522" customFormat="false" ht="15.75" hidden="false" customHeight="true" outlineLevel="0" collapsed="false">
      <c r="F522" s="51"/>
    </row>
    <row r="523" customFormat="false" ht="15.75" hidden="false" customHeight="true" outlineLevel="0" collapsed="false">
      <c r="F523" s="51"/>
    </row>
    <row r="524" customFormat="false" ht="15.75" hidden="false" customHeight="true" outlineLevel="0" collapsed="false">
      <c r="F524" s="51"/>
    </row>
    <row r="525" customFormat="false" ht="15.75" hidden="false" customHeight="true" outlineLevel="0" collapsed="false">
      <c r="F525" s="51"/>
    </row>
    <row r="526" customFormat="false" ht="15.75" hidden="false" customHeight="true" outlineLevel="0" collapsed="false">
      <c r="F526" s="51"/>
    </row>
    <row r="527" customFormat="false" ht="15.75" hidden="false" customHeight="true" outlineLevel="0" collapsed="false">
      <c r="F527" s="51"/>
    </row>
    <row r="528" customFormat="false" ht="15.75" hidden="false" customHeight="true" outlineLevel="0" collapsed="false">
      <c r="F528" s="51"/>
    </row>
    <row r="529" customFormat="false" ht="15.75" hidden="false" customHeight="true" outlineLevel="0" collapsed="false">
      <c r="F529" s="51"/>
    </row>
    <row r="530" customFormat="false" ht="15.75" hidden="false" customHeight="true" outlineLevel="0" collapsed="false">
      <c r="F530" s="51"/>
    </row>
    <row r="531" customFormat="false" ht="15.75" hidden="false" customHeight="true" outlineLevel="0" collapsed="false">
      <c r="F531" s="51"/>
    </row>
    <row r="532" customFormat="false" ht="15.75" hidden="false" customHeight="true" outlineLevel="0" collapsed="false">
      <c r="F532" s="51"/>
    </row>
    <row r="533" customFormat="false" ht="15.75" hidden="false" customHeight="true" outlineLevel="0" collapsed="false">
      <c r="F533" s="51"/>
    </row>
    <row r="534" customFormat="false" ht="15.75" hidden="false" customHeight="true" outlineLevel="0" collapsed="false">
      <c r="F534" s="51"/>
    </row>
    <row r="535" customFormat="false" ht="15.75" hidden="false" customHeight="true" outlineLevel="0" collapsed="false">
      <c r="F535" s="51"/>
    </row>
    <row r="536" customFormat="false" ht="15.75" hidden="false" customHeight="true" outlineLevel="0" collapsed="false">
      <c r="F536" s="51"/>
    </row>
    <row r="537" customFormat="false" ht="15.75" hidden="false" customHeight="true" outlineLevel="0" collapsed="false">
      <c r="F537" s="51"/>
    </row>
    <row r="538" customFormat="false" ht="15.75" hidden="false" customHeight="true" outlineLevel="0" collapsed="false">
      <c r="F538" s="51"/>
    </row>
    <row r="539" customFormat="false" ht="15.75" hidden="false" customHeight="true" outlineLevel="0" collapsed="false">
      <c r="F539" s="51"/>
    </row>
    <row r="540" customFormat="false" ht="15.75" hidden="false" customHeight="true" outlineLevel="0" collapsed="false">
      <c r="F540" s="51"/>
    </row>
    <row r="541" customFormat="false" ht="15.75" hidden="false" customHeight="true" outlineLevel="0" collapsed="false">
      <c r="F541" s="51"/>
    </row>
    <row r="542" customFormat="false" ht="15.75" hidden="false" customHeight="true" outlineLevel="0" collapsed="false">
      <c r="F542" s="51"/>
    </row>
    <row r="543" customFormat="false" ht="15.75" hidden="false" customHeight="true" outlineLevel="0" collapsed="false">
      <c r="F543" s="51"/>
    </row>
    <row r="544" customFormat="false" ht="15.75" hidden="false" customHeight="true" outlineLevel="0" collapsed="false">
      <c r="F544" s="51"/>
    </row>
    <row r="545" customFormat="false" ht="15.75" hidden="false" customHeight="true" outlineLevel="0" collapsed="false">
      <c r="F545" s="51"/>
    </row>
    <row r="546" customFormat="false" ht="15.75" hidden="false" customHeight="true" outlineLevel="0" collapsed="false">
      <c r="F546" s="51"/>
    </row>
    <row r="547" customFormat="false" ht="15.75" hidden="false" customHeight="true" outlineLevel="0" collapsed="false">
      <c r="F547" s="51"/>
    </row>
    <row r="548" customFormat="false" ht="15.75" hidden="false" customHeight="true" outlineLevel="0" collapsed="false">
      <c r="F548" s="51"/>
    </row>
    <row r="549" customFormat="false" ht="15.75" hidden="false" customHeight="true" outlineLevel="0" collapsed="false">
      <c r="F549" s="51"/>
    </row>
    <row r="550" customFormat="false" ht="15.75" hidden="false" customHeight="true" outlineLevel="0" collapsed="false">
      <c r="F550" s="51"/>
    </row>
    <row r="551" customFormat="false" ht="15.75" hidden="false" customHeight="true" outlineLevel="0" collapsed="false">
      <c r="F551" s="51"/>
    </row>
    <row r="552" customFormat="false" ht="15.75" hidden="false" customHeight="true" outlineLevel="0" collapsed="false">
      <c r="F552" s="51"/>
    </row>
    <row r="553" customFormat="false" ht="15.75" hidden="false" customHeight="true" outlineLevel="0" collapsed="false">
      <c r="F553" s="51"/>
    </row>
    <row r="554" customFormat="false" ht="15.75" hidden="false" customHeight="true" outlineLevel="0" collapsed="false">
      <c r="F554" s="51"/>
    </row>
    <row r="555" customFormat="false" ht="15.75" hidden="false" customHeight="true" outlineLevel="0" collapsed="false">
      <c r="F555" s="51"/>
    </row>
    <row r="556" customFormat="false" ht="15.75" hidden="false" customHeight="true" outlineLevel="0" collapsed="false">
      <c r="F556" s="51"/>
    </row>
    <row r="557" customFormat="false" ht="15.75" hidden="false" customHeight="true" outlineLevel="0" collapsed="false">
      <c r="F557" s="51"/>
    </row>
    <row r="558" customFormat="false" ht="15.75" hidden="false" customHeight="true" outlineLevel="0" collapsed="false">
      <c r="F558" s="51"/>
    </row>
    <row r="559" customFormat="false" ht="15.75" hidden="false" customHeight="true" outlineLevel="0" collapsed="false">
      <c r="F559" s="51"/>
    </row>
    <row r="560" customFormat="false" ht="15.75" hidden="false" customHeight="true" outlineLevel="0" collapsed="false">
      <c r="F560" s="51"/>
    </row>
    <row r="561" customFormat="false" ht="15.75" hidden="false" customHeight="true" outlineLevel="0" collapsed="false">
      <c r="F561" s="51"/>
    </row>
    <row r="562" customFormat="false" ht="15.75" hidden="false" customHeight="true" outlineLevel="0" collapsed="false">
      <c r="F562" s="51"/>
    </row>
    <row r="563" customFormat="false" ht="15.75" hidden="false" customHeight="true" outlineLevel="0" collapsed="false">
      <c r="F563" s="51"/>
    </row>
    <row r="564" customFormat="false" ht="15.75" hidden="false" customHeight="true" outlineLevel="0" collapsed="false">
      <c r="F564" s="51"/>
    </row>
    <row r="565" customFormat="false" ht="15.75" hidden="false" customHeight="true" outlineLevel="0" collapsed="false">
      <c r="F565" s="51"/>
    </row>
    <row r="566" customFormat="false" ht="15.75" hidden="false" customHeight="true" outlineLevel="0" collapsed="false">
      <c r="F566" s="51"/>
    </row>
    <row r="567" customFormat="false" ht="15.75" hidden="false" customHeight="true" outlineLevel="0" collapsed="false">
      <c r="F567" s="51"/>
    </row>
    <row r="568" customFormat="false" ht="15.75" hidden="false" customHeight="true" outlineLevel="0" collapsed="false">
      <c r="F568" s="51"/>
    </row>
    <row r="569" customFormat="false" ht="15.75" hidden="false" customHeight="true" outlineLevel="0" collapsed="false">
      <c r="F569" s="51"/>
    </row>
    <row r="570" customFormat="false" ht="15.75" hidden="false" customHeight="true" outlineLevel="0" collapsed="false">
      <c r="F570" s="51"/>
    </row>
    <row r="571" customFormat="false" ht="15.75" hidden="false" customHeight="true" outlineLevel="0" collapsed="false">
      <c r="F571" s="51"/>
    </row>
    <row r="572" customFormat="false" ht="15.75" hidden="false" customHeight="true" outlineLevel="0" collapsed="false">
      <c r="F572" s="51"/>
    </row>
    <row r="573" customFormat="false" ht="15.75" hidden="false" customHeight="true" outlineLevel="0" collapsed="false">
      <c r="F573" s="51"/>
    </row>
    <row r="574" customFormat="false" ht="15.75" hidden="false" customHeight="true" outlineLevel="0" collapsed="false">
      <c r="F574" s="51"/>
    </row>
    <row r="575" customFormat="false" ht="15.75" hidden="false" customHeight="true" outlineLevel="0" collapsed="false">
      <c r="F575" s="51"/>
    </row>
    <row r="576" customFormat="false" ht="15.75" hidden="false" customHeight="true" outlineLevel="0" collapsed="false">
      <c r="F576" s="51"/>
    </row>
    <row r="577" customFormat="false" ht="15.75" hidden="false" customHeight="true" outlineLevel="0" collapsed="false">
      <c r="F577" s="51"/>
    </row>
    <row r="578" customFormat="false" ht="15.75" hidden="false" customHeight="true" outlineLevel="0" collapsed="false">
      <c r="F578" s="51"/>
    </row>
    <row r="579" customFormat="false" ht="15.75" hidden="false" customHeight="true" outlineLevel="0" collapsed="false">
      <c r="F579" s="51"/>
    </row>
    <row r="580" customFormat="false" ht="15.75" hidden="false" customHeight="true" outlineLevel="0" collapsed="false">
      <c r="F580" s="51"/>
    </row>
    <row r="581" customFormat="false" ht="15.75" hidden="false" customHeight="true" outlineLevel="0" collapsed="false">
      <c r="F581" s="51"/>
    </row>
    <row r="582" customFormat="false" ht="15.75" hidden="false" customHeight="true" outlineLevel="0" collapsed="false">
      <c r="F582" s="51"/>
    </row>
    <row r="583" customFormat="false" ht="15.75" hidden="false" customHeight="true" outlineLevel="0" collapsed="false">
      <c r="F583" s="51"/>
    </row>
    <row r="584" customFormat="false" ht="15.75" hidden="false" customHeight="true" outlineLevel="0" collapsed="false">
      <c r="F584" s="51"/>
    </row>
    <row r="585" customFormat="false" ht="15.75" hidden="false" customHeight="true" outlineLevel="0" collapsed="false">
      <c r="F585" s="51"/>
    </row>
    <row r="586" customFormat="false" ht="15.75" hidden="false" customHeight="true" outlineLevel="0" collapsed="false">
      <c r="F586" s="51"/>
    </row>
    <row r="587" customFormat="false" ht="15.75" hidden="false" customHeight="true" outlineLevel="0" collapsed="false">
      <c r="F587" s="51"/>
    </row>
    <row r="588" customFormat="false" ht="15.75" hidden="false" customHeight="true" outlineLevel="0" collapsed="false">
      <c r="F588" s="51"/>
    </row>
    <row r="589" customFormat="false" ht="15.75" hidden="false" customHeight="true" outlineLevel="0" collapsed="false">
      <c r="F589" s="51"/>
    </row>
    <row r="590" customFormat="false" ht="15.75" hidden="false" customHeight="true" outlineLevel="0" collapsed="false">
      <c r="F590" s="51"/>
    </row>
    <row r="591" customFormat="false" ht="15.75" hidden="false" customHeight="true" outlineLevel="0" collapsed="false">
      <c r="F591" s="51"/>
    </row>
    <row r="592" customFormat="false" ht="15.75" hidden="false" customHeight="true" outlineLevel="0" collapsed="false">
      <c r="F592" s="51"/>
    </row>
    <row r="593" customFormat="false" ht="15.75" hidden="false" customHeight="true" outlineLevel="0" collapsed="false">
      <c r="F593" s="51"/>
    </row>
    <row r="594" customFormat="false" ht="15.75" hidden="false" customHeight="true" outlineLevel="0" collapsed="false">
      <c r="F594" s="51"/>
    </row>
    <row r="595" customFormat="false" ht="15.75" hidden="false" customHeight="true" outlineLevel="0" collapsed="false">
      <c r="F595" s="51"/>
    </row>
    <row r="596" customFormat="false" ht="15.75" hidden="false" customHeight="true" outlineLevel="0" collapsed="false">
      <c r="F596" s="51"/>
    </row>
    <row r="597" customFormat="false" ht="15.75" hidden="false" customHeight="true" outlineLevel="0" collapsed="false">
      <c r="F597" s="51"/>
    </row>
    <row r="598" customFormat="false" ht="15.75" hidden="false" customHeight="true" outlineLevel="0" collapsed="false">
      <c r="F598" s="51"/>
    </row>
    <row r="599" customFormat="false" ht="15.75" hidden="false" customHeight="true" outlineLevel="0" collapsed="false">
      <c r="F599" s="51"/>
    </row>
    <row r="600" customFormat="false" ht="15.75" hidden="false" customHeight="true" outlineLevel="0" collapsed="false">
      <c r="F600" s="51"/>
    </row>
    <row r="601" customFormat="false" ht="15.75" hidden="false" customHeight="true" outlineLevel="0" collapsed="false">
      <c r="F601" s="51"/>
    </row>
    <row r="602" customFormat="false" ht="15.75" hidden="false" customHeight="true" outlineLevel="0" collapsed="false">
      <c r="F602" s="51"/>
    </row>
    <row r="603" customFormat="false" ht="15.75" hidden="false" customHeight="true" outlineLevel="0" collapsed="false">
      <c r="F603" s="51"/>
    </row>
    <row r="604" customFormat="false" ht="15.75" hidden="false" customHeight="true" outlineLevel="0" collapsed="false">
      <c r="F604" s="51"/>
    </row>
    <row r="605" customFormat="false" ht="15.75" hidden="false" customHeight="true" outlineLevel="0" collapsed="false">
      <c r="F605" s="51"/>
    </row>
    <row r="606" customFormat="false" ht="15.75" hidden="false" customHeight="true" outlineLevel="0" collapsed="false">
      <c r="F606" s="51"/>
    </row>
    <row r="607" customFormat="false" ht="15.75" hidden="false" customHeight="true" outlineLevel="0" collapsed="false">
      <c r="F607" s="51"/>
    </row>
    <row r="608" customFormat="false" ht="15.75" hidden="false" customHeight="true" outlineLevel="0" collapsed="false">
      <c r="F608" s="51"/>
    </row>
    <row r="609" customFormat="false" ht="15.75" hidden="false" customHeight="true" outlineLevel="0" collapsed="false">
      <c r="F609" s="51"/>
    </row>
    <row r="610" customFormat="false" ht="15.75" hidden="false" customHeight="true" outlineLevel="0" collapsed="false">
      <c r="F610" s="51"/>
    </row>
    <row r="611" customFormat="false" ht="15.75" hidden="false" customHeight="true" outlineLevel="0" collapsed="false">
      <c r="F611" s="51"/>
    </row>
    <row r="612" customFormat="false" ht="15.75" hidden="false" customHeight="true" outlineLevel="0" collapsed="false">
      <c r="F612" s="51"/>
    </row>
    <row r="613" customFormat="false" ht="15.75" hidden="false" customHeight="true" outlineLevel="0" collapsed="false">
      <c r="F613" s="51"/>
    </row>
    <row r="614" customFormat="false" ht="15.75" hidden="false" customHeight="true" outlineLevel="0" collapsed="false">
      <c r="F614" s="51"/>
    </row>
    <row r="615" customFormat="false" ht="15.75" hidden="false" customHeight="true" outlineLevel="0" collapsed="false">
      <c r="F615" s="51"/>
    </row>
    <row r="616" customFormat="false" ht="15.75" hidden="false" customHeight="true" outlineLevel="0" collapsed="false">
      <c r="F616" s="51"/>
    </row>
    <row r="617" customFormat="false" ht="15.75" hidden="false" customHeight="true" outlineLevel="0" collapsed="false">
      <c r="F617" s="51"/>
    </row>
    <row r="618" customFormat="false" ht="15.75" hidden="false" customHeight="true" outlineLevel="0" collapsed="false">
      <c r="F618" s="51"/>
    </row>
    <row r="619" customFormat="false" ht="15.75" hidden="false" customHeight="true" outlineLevel="0" collapsed="false">
      <c r="F619" s="51"/>
    </row>
    <row r="620" customFormat="false" ht="15.75" hidden="false" customHeight="true" outlineLevel="0" collapsed="false">
      <c r="F620" s="51"/>
    </row>
    <row r="621" customFormat="false" ht="15.75" hidden="false" customHeight="true" outlineLevel="0" collapsed="false">
      <c r="F621" s="51"/>
    </row>
    <row r="622" customFormat="false" ht="15.75" hidden="false" customHeight="true" outlineLevel="0" collapsed="false">
      <c r="F622" s="51"/>
    </row>
    <row r="623" customFormat="false" ht="15.75" hidden="false" customHeight="true" outlineLevel="0" collapsed="false">
      <c r="F623" s="51"/>
    </row>
    <row r="624" customFormat="false" ht="15.75" hidden="false" customHeight="true" outlineLevel="0" collapsed="false">
      <c r="F624" s="51"/>
    </row>
    <row r="625" customFormat="false" ht="15.75" hidden="false" customHeight="true" outlineLevel="0" collapsed="false">
      <c r="F625" s="51"/>
    </row>
    <row r="626" customFormat="false" ht="15.75" hidden="false" customHeight="true" outlineLevel="0" collapsed="false">
      <c r="F626" s="51"/>
    </row>
    <row r="627" customFormat="false" ht="15.75" hidden="false" customHeight="true" outlineLevel="0" collapsed="false">
      <c r="F627" s="51"/>
    </row>
    <row r="628" customFormat="false" ht="15.75" hidden="false" customHeight="true" outlineLevel="0" collapsed="false">
      <c r="F628" s="51"/>
    </row>
    <row r="629" customFormat="false" ht="15.75" hidden="false" customHeight="true" outlineLevel="0" collapsed="false">
      <c r="F629" s="51"/>
    </row>
    <row r="630" customFormat="false" ht="15.75" hidden="false" customHeight="true" outlineLevel="0" collapsed="false">
      <c r="F630" s="51"/>
    </row>
    <row r="631" customFormat="false" ht="15.75" hidden="false" customHeight="true" outlineLevel="0" collapsed="false">
      <c r="F631" s="51"/>
    </row>
    <row r="632" customFormat="false" ht="15.75" hidden="false" customHeight="true" outlineLevel="0" collapsed="false">
      <c r="F632" s="51"/>
    </row>
    <row r="633" customFormat="false" ht="15.75" hidden="false" customHeight="true" outlineLevel="0" collapsed="false">
      <c r="F633" s="51"/>
    </row>
    <row r="634" customFormat="false" ht="15.75" hidden="false" customHeight="true" outlineLevel="0" collapsed="false">
      <c r="F634" s="51"/>
    </row>
    <row r="635" customFormat="false" ht="15.75" hidden="false" customHeight="true" outlineLevel="0" collapsed="false">
      <c r="F635" s="51"/>
    </row>
    <row r="636" customFormat="false" ht="15.75" hidden="false" customHeight="true" outlineLevel="0" collapsed="false">
      <c r="F636" s="51"/>
    </row>
    <row r="637" customFormat="false" ht="15.75" hidden="false" customHeight="true" outlineLevel="0" collapsed="false">
      <c r="F637" s="51"/>
    </row>
    <row r="638" customFormat="false" ht="15.75" hidden="false" customHeight="true" outlineLevel="0" collapsed="false">
      <c r="F638" s="51"/>
    </row>
    <row r="639" customFormat="false" ht="15.75" hidden="false" customHeight="true" outlineLevel="0" collapsed="false">
      <c r="F639" s="51"/>
    </row>
    <row r="640" customFormat="false" ht="15.75" hidden="false" customHeight="true" outlineLevel="0" collapsed="false">
      <c r="F640" s="51"/>
    </row>
    <row r="641" customFormat="false" ht="15.75" hidden="false" customHeight="true" outlineLevel="0" collapsed="false">
      <c r="F641" s="51"/>
    </row>
    <row r="642" customFormat="false" ht="15.75" hidden="false" customHeight="true" outlineLevel="0" collapsed="false">
      <c r="F642" s="51"/>
    </row>
    <row r="643" customFormat="false" ht="15.75" hidden="false" customHeight="true" outlineLevel="0" collapsed="false">
      <c r="F643" s="51"/>
    </row>
    <row r="644" customFormat="false" ht="15.75" hidden="false" customHeight="true" outlineLevel="0" collapsed="false">
      <c r="F644" s="51"/>
    </row>
    <row r="645" customFormat="false" ht="15.75" hidden="false" customHeight="true" outlineLevel="0" collapsed="false">
      <c r="F645" s="51"/>
    </row>
    <row r="646" customFormat="false" ht="15.75" hidden="false" customHeight="true" outlineLevel="0" collapsed="false">
      <c r="F646" s="51"/>
    </row>
    <row r="647" customFormat="false" ht="15.75" hidden="false" customHeight="true" outlineLevel="0" collapsed="false">
      <c r="F647" s="51"/>
    </row>
    <row r="648" customFormat="false" ht="15.75" hidden="false" customHeight="true" outlineLevel="0" collapsed="false">
      <c r="F648" s="51"/>
    </row>
    <row r="649" customFormat="false" ht="15.75" hidden="false" customHeight="true" outlineLevel="0" collapsed="false">
      <c r="F649" s="51"/>
    </row>
    <row r="650" customFormat="false" ht="15.75" hidden="false" customHeight="true" outlineLevel="0" collapsed="false">
      <c r="F650" s="51"/>
    </row>
    <row r="651" customFormat="false" ht="15.75" hidden="false" customHeight="true" outlineLevel="0" collapsed="false">
      <c r="F651" s="51"/>
    </row>
    <row r="652" customFormat="false" ht="15.75" hidden="false" customHeight="true" outlineLevel="0" collapsed="false">
      <c r="F652" s="51"/>
    </row>
    <row r="653" customFormat="false" ht="15.75" hidden="false" customHeight="true" outlineLevel="0" collapsed="false">
      <c r="F653" s="51"/>
    </row>
    <row r="654" customFormat="false" ht="15.75" hidden="false" customHeight="true" outlineLevel="0" collapsed="false">
      <c r="F654" s="51"/>
    </row>
    <row r="655" customFormat="false" ht="15.75" hidden="false" customHeight="true" outlineLevel="0" collapsed="false">
      <c r="F655" s="51"/>
    </row>
    <row r="656" customFormat="false" ht="15.75" hidden="false" customHeight="true" outlineLevel="0" collapsed="false">
      <c r="F656" s="51"/>
    </row>
    <row r="657" customFormat="false" ht="15.75" hidden="false" customHeight="true" outlineLevel="0" collapsed="false">
      <c r="F657" s="51"/>
    </row>
    <row r="658" customFormat="false" ht="15.75" hidden="false" customHeight="true" outlineLevel="0" collapsed="false">
      <c r="F658" s="51"/>
    </row>
    <row r="659" customFormat="false" ht="15.75" hidden="false" customHeight="true" outlineLevel="0" collapsed="false">
      <c r="F659" s="51"/>
    </row>
    <row r="660" customFormat="false" ht="15.75" hidden="false" customHeight="true" outlineLevel="0" collapsed="false">
      <c r="F660" s="51"/>
    </row>
    <row r="661" customFormat="false" ht="15.75" hidden="false" customHeight="true" outlineLevel="0" collapsed="false">
      <c r="F661" s="51"/>
    </row>
    <row r="662" customFormat="false" ht="15.75" hidden="false" customHeight="true" outlineLevel="0" collapsed="false">
      <c r="F662" s="51"/>
    </row>
    <row r="663" customFormat="false" ht="15.75" hidden="false" customHeight="true" outlineLevel="0" collapsed="false">
      <c r="F663" s="51"/>
    </row>
    <row r="664" customFormat="false" ht="15.75" hidden="false" customHeight="true" outlineLevel="0" collapsed="false">
      <c r="F664" s="51"/>
    </row>
    <row r="665" customFormat="false" ht="15.75" hidden="false" customHeight="true" outlineLevel="0" collapsed="false">
      <c r="F665" s="51"/>
    </row>
    <row r="666" customFormat="false" ht="15.75" hidden="false" customHeight="true" outlineLevel="0" collapsed="false">
      <c r="F666" s="51"/>
    </row>
    <row r="667" customFormat="false" ht="15.75" hidden="false" customHeight="true" outlineLevel="0" collapsed="false">
      <c r="F667" s="51"/>
    </row>
    <row r="668" customFormat="false" ht="15.75" hidden="false" customHeight="true" outlineLevel="0" collapsed="false">
      <c r="F668" s="51"/>
    </row>
    <row r="669" customFormat="false" ht="15.75" hidden="false" customHeight="true" outlineLevel="0" collapsed="false">
      <c r="F669" s="51"/>
    </row>
    <row r="670" customFormat="false" ht="15.75" hidden="false" customHeight="true" outlineLevel="0" collapsed="false">
      <c r="F670" s="51"/>
    </row>
    <row r="671" customFormat="false" ht="15.75" hidden="false" customHeight="true" outlineLevel="0" collapsed="false">
      <c r="F671" s="51"/>
    </row>
    <row r="672" customFormat="false" ht="15.75" hidden="false" customHeight="true" outlineLevel="0" collapsed="false">
      <c r="F672" s="51"/>
    </row>
    <row r="673" customFormat="false" ht="15.75" hidden="false" customHeight="true" outlineLevel="0" collapsed="false">
      <c r="F673" s="51"/>
    </row>
    <row r="674" customFormat="false" ht="15.75" hidden="false" customHeight="true" outlineLevel="0" collapsed="false">
      <c r="F674" s="51"/>
    </row>
    <row r="675" customFormat="false" ht="15.75" hidden="false" customHeight="true" outlineLevel="0" collapsed="false">
      <c r="F675" s="51"/>
    </row>
    <row r="676" customFormat="false" ht="15.75" hidden="false" customHeight="true" outlineLevel="0" collapsed="false">
      <c r="F676" s="51"/>
    </row>
    <row r="677" customFormat="false" ht="15.75" hidden="false" customHeight="true" outlineLevel="0" collapsed="false">
      <c r="F677" s="51"/>
    </row>
    <row r="678" customFormat="false" ht="15.75" hidden="false" customHeight="true" outlineLevel="0" collapsed="false">
      <c r="F678" s="51"/>
    </row>
    <row r="679" customFormat="false" ht="15.75" hidden="false" customHeight="true" outlineLevel="0" collapsed="false">
      <c r="F679" s="51"/>
    </row>
    <row r="680" customFormat="false" ht="15.75" hidden="false" customHeight="true" outlineLevel="0" collapsed="false">
      <c r="F680" s="51"/>
    </row>
    <row r="681" customFormat="false" ht="15.75" hidden="false" customHeight="true" outlineLevel="0" collapsed="false">
      <c r="F681" s="51"/>
    </row>
    <row r="682" customFormat="false" ht="15.75" hidden="false" customHeight="true" outlineLevel="0" collapsed="false">
      <c r="F682" s="51"/>
    </row>
    <row r="683" customFormat="false" ht="15.75" hidden="false" customHeight="true" outlineLevel="0" collapsed="false">
      <c r="F683" s="51"/>
    </row>
    <row r="684" customFormat="false" ht="15.75" hidden="false" customHeight="true" outlineLevel="0" collapsed="false">
      <c r="F684" s="51"/>
    </row>
    <row r="685" customFormat="false" ht="15.75" hidden="false" customHeight="true" outlineLevel="0" collapsed="false">
      <c r="F685" s="51"/>
    </row>
    <row r="686" customFormat="false" ht="15.75" hidden="false" customHeight="true" outlineLevel="0" collapsed="false">
      <c r="F686" s="51"/>
    </row>
    <row r="687" customFormat="false" ht="15.75" hidden="false" customHeight="true" outlineLevel="0" collapsed="false">
      <c r="F687" s="51"/>
    </row>
    <row r="688" customFormat="false" ht="15.75" hidden="false" customHeight="true" outlineLevel="0" collapsed="false">
      <c r="F688" s="51"/>
    </row>
    <row r="689" customFormat="false" ht="15.75" hidden="false" customHeight="true" outlineLevel="0" collapsed="false">
      <c r="F689" s="51"/>
    </row>
    <row r="690" customFormat="false" ht="15.75" hidden="false" customHeight="true" outlineLevel="0" collapsed="false">
      <c r="F690" s="51"/>
    </row>
    <row r="691" customFormat="false" ht="15.75" hidden="false" customHeight="true" outlineLevel="0" collapsed="false">
      <c r="F691" s="51"/>
    </row>
    <row r="692" customFormat="false" ht="15.75" hidden="false" customHeight="true" outlineLevel="0" collapsed="false">
      <c r="F692" s="51"/>
    </row>
    <row r="693" customFormat="false" ht="15.75" hidden="false" customHeight="true" outlineLevel="0" collapsed="false">
      <c r="F693" s="51"/>
    </row>
    <row r="694" customFormat="false" ht="15.75" hidden="false" customHeight="true" outlineLevel="0" collapsed="false">
      <c r="F694" s="51"/>
    </row>
    <row r="695" customFormat="false" ht="15.75" hidden="false" customHeight="true" outlineLevel="0" collapsed="false">
      <c r="F695" s="51"/>
    </row>
    <row r="696" customFormat="false" ht="15.75" hidden="false" customHeight="true" outlineLevel="0" collapsed="false">
      <c r="F696" s="51"/>
    </row>
    <row r="697" customFormat="false" ht="15.75" hidden="false" customHeight="true" outlineLevel="0" collapsed="false">
      <c r="F697" s="51"/>
    </row>
    <row r="698" customFormat="false" ht="15.75" hidden="false" customHeight="true" outlineLevel="0" collapsed="false">
      <c r="F698" s="51"/>
    </row>
    <row r="699" customFormat="false" ht="15.75" hidden="false" customHeight="true" outlineLevel="0" collapsed="false">
      <c r="F699" s="51"/>
    </row>
    <row r="700" customFormat="false" ht="15.75" hidden="false" customHeight="true" outlineLevel="0" collapsed="false">
      <c r="F700" s="51"/>
    </row>
    <row r="701" customFormat="false" ht="15.75" hidden="false" customHeight="true" outlineLevel="0" collapsed="false">
      <c r="F701" s="51"/>
    </row>
    <row r="702" customFormat="false" ht="15.75" hidden="false" customHeight="true" outlineLevel="0" collapsed="false">
      <c r="F702" s="51"/>
    </row>
    <row r="703" customFormat="false" ht="15.75" hidden="false" customHeight="true" outlineLevel="0" collapsed="false">
      <c r="F703" s="51"/>
    </row>
    <row r="704" customFormat="false" ht="15.75" hidden="false" customHeight="true" outlineLevel="0" collapsed="false">
      <c r="F704" s="51"/>
    </row>
    <row r="705" customFormat="false" ht="15.75" hidden="false" customHeight="true" outlineLevel="0" collapsed="false">
      <c r="F705" s="51"/>
    </row>
    <row r="706" customFormat="false" ht="15.75" hidden="false" customHeight="true" outlineLevel="0" collapsed="false">
      <c r="F706" s="51"/>
    </row>
    <row r="707" customFormat="false" ht="15.75" hidden="false" customHeight="true" outlineLevel="0" collapsed="false">
      <c r="F707" s="51"/>
    </row>
    <row r="708" customFormat="false" ht="15.75" hidden="false" customHeight="true" outlineLevel="0" collapsed="false">
      <c r="F708" s="51"/>
    </row>
    <row r="709" customFormat="false" ht="15.75" hidden="false" customHeight="true" outlineLevel="0" collapsed="false">
      <c r="F709" s="51"/>
    </row>
    <row r="710" customFormat="false" ht="15.75" hidden="false" customHeight="true" outlineLevel="0" collapsed="false">
      <c r="F710" s="51"/>
    </row>
    <row r="711" customFormat="false" ht="15.75" hidden="false" customHeight="true" outlineLevel="0" collapsed="false">
      <c r="F711" s="51"/>
    </row>
    <row r="712" customFormat="false" ht="15.75" hidden="false" customHeight="true" outlineLevel="0" collapsed="false">
      <c r="F712" s="51"/>
    </row>
    <row r="713" customFormat="false" ht="15.75" hidden="false" customHeight="true" outlineLevel="0" collapsed="false">
      <c r="F713" s="51"/>
    </row>
    <row r="714" customFormat="false" ht="15.75" hidden="false" customHeight="true" outlineLevel="0" collapsed="false">
      <c r="F714" s="51"/>
    </row>
    <row r="715" customFormat="false" ht="15.75" hidden="false" customHeight="true" outlineLevel="0" collapsed="false">
      <c r="F715" s="51"/>
    </row>
    <row r="716" customFormat="false" ht="15.75" hidden="false" customHeight="true" outlineLevel="0" collapsed="false">
      <c r="F716" s="51"/>
    </row>
    <row r="717" customFormat="false" ht="15.75" hidden="false" customHeight="true" outlineLevel="0" collapsed="false">
      <c r="F717" s="51"/>
    </row>
    <row r="718" customFormat="false" ht="15.75" hidden="false" customHeight="true" outlineLevel="0" collapsed="false">
      <c r="F718" s="51"/>
    </row>
    <row r="719" customFormat="false" ht="15.75" hidden="false" customHeight="true" outlineLevel="0" collapsed="false">
      <c r="F719" s="51"/>
    </row>
    <row r="720" customFormat="false" ht="15.75" hidden="false" customHeight="true" outlineLevel="0" collapsed="false">
      <c r="F720" s="51"/>
    </row>
    <row r="721" customFormat="false" ht="15.75" hidden="false" customHeight="true" outlineLevel="0" collapsed="false">
      <c r="F721" s="51"/>
    </row>
    <row r="722" customFormat="false" ht="15.75" hidden="false" customHeight="true" outlineLevel="0" collapsed="false">
      <c r="F722" s="51"/>
    </row>
    <row r="723" customFormat="false" ht="15.75" hidden="false" customHeight="true" outlineLevel="0" collapsed="false">
      <c r="F723" s="51"/>
    </row>
    <row r="724" customFormat="false" ht="15.75" hidden="false" customHeight="true" outlineLevel="0" collapsed="false">
      <c r="F724" s="51"/>
    </row>
    <row r="725" customFormat="false" ht="15.75" hidden="false" customHeight="true" outlineLevel="0" collapsed="false">
      <c r="F725" s="51"/>
    </row>
    <row r="726" customFormat="false" ht="15.75" hidden="false" customHeight="true" outlineLevel="0" collapsed="false">
      <c r="F726" s="51"/>
    </row>
    <row r="727" customFormat="false" ht="15.75" hidden="false" customHeight="true" outlineLevel="0" collapsed="false">
      <c r="F727" s="51"/>
    </row>
    <row r="728" customFormat="false" ht="15.75" hidden="false" customHeight="true" outlineLevel="0" collapsed="false">
      <c r="F728" s="51"/>
    </row>
    <row r="729" customFormat="false" ht="15.75" hidden="false" customHeight="true" outlineLevel="0" collapsed="false">
      <c r="F729" s="51"/>
    </row>
    <row r="730" customFormat="false" ht="15.75" hidden="false" customHeight="true" outlineLevel="0" collapsed="false">
      <c r="F730" s="51"/>
    </row>
    <row r="731" customFormat="false" ht="15.75" hidden="false" customHeight="true" outlineLevel="0" collapsed="false">
      <c r="F731" s="51"/>
    </row>
    <row r="732" customFormat="false" ht="15.75" hidden="false" customHeight="true" outlineLevel="0" collapsed="false">
      <c r="F732" s="51"/>
    </row>
    <row r="733" customFormat="false" ht="15.75" hidden="false" customHeight="true" outlineLevel="0" collapsed="false">
      <c r="F733" s="51"/>
    </row>
    <row r="734" customFormat="false" ht="15.75" hidden="false" customHeight="true" outlineLevel="0" collapsed="false">
      <c r="F734" s="51"/>
    </row>
    <row r="735" customFormat="false" ht="15.75" hidden="false" customHeight="true" outlineLevel="0" collapsed="false">
      <c r="F735" s="51"/>
    </row>
    <row r="736" customFormat="false" ht="15.75" hidden="false" customHeight="true" outlineLevel="0" collapsed="false">
      <c r="F736" s="51"/>
    </row>
    <row r="737" customFormat="false" ht="15.75" hidden="false" customHeight="true" outlineLevel="0" collapsed="false">
      <c r="F737" s="51"/>
    </row>
    <row r="738" customFormat="false" ht="15.75" hidden="false" customHeight="true" outlineLevel="0" collapsed="false">
      <c r="F738" s="51"/>
    </row>
    <row r="739" customFormat="false" ht="15.75" hidden="false" customHeight="true" outlineLevel="0" collapsed="false">
      <c r="F739" s="51"/>
    </row>
    <row r="740" customFormat="false" ht="15.75" hidden="false" customHeight="true" outlineLevel="0" collapsed="false">
      <c r="F740" s="51"/>
    </row>
    <row r="741" customFormat="false" ht="15.75" hidden="false" customHeight="true" outlineLevel="0" collapsed="false">
      <c r="F741" s="51"/>
    </row>
    <row r="742" customFormat="false" ht="15.75" hidden="false" customHeight="true" outlineLevel="0" collapsed="false">
      <c r="F742" s="51"/>
    </row>
    <row r="743" customFormat="false" ht="15.75" hidden="false" customHeight="true" outlineLevel="0" collapsed="false">
      <c r="F743" s="51"/>
    </row>
    <row r="744" customFormat="false" ht="15.75" hidden="false" customHeight="true" outlineLevel="0" collapsed="false">
      <c r="F744" s="51"/>
    </row>
    <row r="745" customFormat="false" ht="15.75" hidden="false" customHeight="true" outlineLevel="0" collapsed="false">
      <c r="F745" s="51"/>
    </row>
    <row r="746" customFormat="false" ht="15.75" hidden="false" customHeight="true" outlineLevel="0" collapsed="false">
      <c r="F746" s="51"/>
    </row>
    <row r="747" customFormat="false" ht="15.75" hidden="false" customHeight="true" outlineLevel="0" collapsed="false">
      <c r="F747" s="51"/>
    </row>
    <row r="748" customFormat="false" ht="15.75" hidden="false" customHeight="true" outlineLevel="0" collapsed="false">
      <c r="F748" s="51"/>
    </row>
    <row r="749" customFormat="false" ht="15.75" hidden="false" customHeight="true" outlineLevel="0" collapsed="false">
      <c r="F749" s="51"/>
    </row>
    <row r="750" customFormat="false" ht="15.75" hidden="false" customHeight="true" outlineLevel="0" collapsed="false">
      <c r="F750" s="51"/>
    </row>
    <row r="751" customFormat="false" ht="15.75" hidden="false" customHeight="true" outlineLevel="0" collapsed="false">
      <c r="F751" s="51"/>
    </row>
    <row r="752" customFormat="false" ht="15.75" hidden="false" customHeight="true" outlineLevel="0" collapsed="false">
      <c r="F752" s="51"/>
    </row>
    <row r="753" customFormat="false" ht="15.75" hidden="false" customHeight="true" outlineLevel="0" collapsed="false">
      <c r="F753" s="51"/>
    </row>
    <row r="754" customFormat="false" ht="15.75" hidden="false" customHeight="true" outlineLevel="0" collapsed="false">
      <c r="F754" s="51"/>
    </row>
    <row r="755" customFormat="false" ht="15.75" hidden="false" customHeight="true" outlineLevel="0" collapsed="false">
      <c r="F755" s="51"/>
    </row>
    <row r="756" customFormat="false" ht="15.75" hidden="false" customHeight="true" outlineLevel="0" collapsed="false">
      <c r="F756" s="51"/>
    </row>
    <row r="757" customFormat="false" ht="15.75" hidden="false" customHeight="true" outlineLevel="0" collapsed="false">
      <c r="F757" s="51"/>
    </row>
    <row r="758" customFormat="false" ht="15.75" hidden="false" customHeight="true" outlineLevel="0" collapsed="false">
      <c r="F758" s="51"/>
    </row>
    <row r="759" customFormat="false" ht="15.75" hidden="false" customHeight="true" outlineLevel="0" collapsed="false">
      <c r="F759" s="51"/>
    </row>
    <row r="760" customFormat="false" ht="15.75" hidden="false" customHeight="true" outlineLevel="0" collapsed="false">
      <c r="F760" s="51"/>
    </row>
    <row r="761" customFormat="false" ht="15.75" hidden="false" customHeight="true" outlineLevel="0" collapsed="false">
      <c r="F761" s="51"/>
    </row>
    <row r="762" customFormat="false" ht="15.75" hidden="false" customHeight="true" outlineLevel="0" collapsed="false">
      <c r="F762" s="51"/>
    </row>
    <row r="763" customFormat="false" ht="15.75" hidden="false" customHeight="true" outlineLevel="0" collapsed="false">
      <c r="F763" s="51"/>
    </row>
    <row r="764" customFormat="false" ht="15.75" hidden="false" customHeight="true" outlineLevel="0" collapsed="false">
      <c r="F764" s="51"/>
    </row>
    <row r="765" customFormat="false" ht="15.75" hidden="false" customHeight="true" outlineLevel="0" collapsed="false">
      <c r="F765" s="51"/>
    </row>
    <row r="766" customFormat="false" ht="15.75" hidden="false" customHeight="true" outlineLevel="0" collapsed="false">
      <c r="F766" s="51"/>
    </row>
    <row r="767" customFormat="false" ht="15.75" hidden="false" customHeight="true" outlineLevel="0" collapsed="false">
      <c r="F767" s="51"/>
    </row>
    <row r="768" customFormat="false" ht="15.75" hidden="false" customHeight="true" outlineLevel="0" collapsed="false">
      <c r="F768" s="51"/>
    </row>
    <row r="769" customFormat="false" ht="15.75" hidden="false" customHeight="true" outlineLevel="0" collapsed="false">
      <c r="F769" s="51"/>
    </row>
    <row r="770" customFormat="false" ht="15.75" hidden="false" customHeight="true" outlineLevel="0" collapsed="false">
      <c r="F770" s="51"/>
    </row>
    <row r="771" customFormat="false" ht="15.75" hidden="false" customHeight="true" outlineLevel="0" collapsed="false">
      <c r="F771" s="51"/>
    </row>
    <row r="772" customFormat="false" ht="15.75" hidden="false" customHeight="true" outlineLevel="0" collapsed="false">
      <c r="F772" s="51"/>
    </row>
    <row r="773" customFormat="false" ht="15.75" hidden="false" customHeight="true" outlineLevel="0" collapsed="false">
      <c r="F773" s="51"/>
    </row>
    <row r="774" customFormat="false" ht="15.75" hidden="false" customHeight="true" outlineLevel="0" collapsed="false">
      <c r="F774" s="51"/>
    </row>
    <row r="775" customFormat="false" ht="15.75" hidden="false" customHeight="true" outlineLevel="0" collapsed="false">
      <c r="F775" s="51"/>
    </row>
    <row r="776" customFormat="false" ht="15.75" hidden="false" customHeight="true" outlineLevel="0" collapsed="false">
      <c r="F776" s="51"/>
    </row>
    <row r="777" customFormat="false" ht="15.75" hidden="false" customHeight="true" outlineLevel="0" collapsed="false">
      <c r="F777" s="51"/>
    </row>
    <row r="778" customFormat="false" ht="15.75" hidden="false" customHeight="true" outlineLevel="0" collapsed="false">
      <c r="F778" s="51"/>
    </row>
    <row r="779" customFormat="false" ht="15.75" hidden="false" customHeight="true" outlineLevel="0" collapsed="false">
      <c r="F779" s="51"/>
    </row>
    <row r="780" customFormat="false" ht="15.75" hidden="false" customHeight="true" outlineLevel="0" collapsed="false">
      <c r="F780" s="51"/>
    </row>
    <row r="781" customFormat="false" ht="15.75" hidden="false" customHeight="true" outlineLevel="0" collapsed="false">
      <c r="F781" s="51"/>
    </row>
    <row r="782" customFormat="false" ht="15.75" hidden="false" customHeight="true" outlineLevel="0" collapsed="false">
      <c r="F782" s="51"/>
    </row>
    <row r="783" customFormat="false" ht="15.75" hidden="false" customHeight="true" outlineLevel="0" collapsed="false">
      <c r="F783" s="51"/>
    </row>
    <row r="784" customFormat="false" ht="15.75" hidden="false" customHeight="true" outlineLevel="0" collapsed="false">
      <c r="F784" s="51"/>
    </row>
    <row r="785" customFormat="false" ht="15.75" hidden="false" customHeight="true" outlineLevel="0" collapsed="false">
      <c r="F785" s="51"/>
    </row>
    <row r="786" customFormat="false" ht="15.75" hidden="false" customHeight="true" outlineLevel="0" collapsed="false">
      <c r="F786" s="51"/>
    </row>
    <row r="787" customFormat="false" ht="15.75" hidden="false" customHeight="true" outlineLevel="0" collapsed="false">
      <c r="F787" s="51"/>
    </row>
    <row r="788" customFormat="false" ht="15.75" hidden="false" customHeight="true" outlineLevel="0" collapsed="false">
      <c r="F788" s="51"/>
    </row>
    <row r="789" customFormat="false" ht="15.75" hidden="false" customHeight="true" outlineLevel="0" collapsed="false">
      <c r="F789" s="51"/>
    </row>
    <row r="790" customFormat="false" ht="15.75" hidden="false" customHeight="true" outlineLevel="0" collapsed="false">
      <c r="F790" s="51"/>
    </row>
    <row r="791" customFormat="false" ht="15.75" hidden="false" customHeight="true" outlineLevel="0" collapsed="false">
      <c r="F791" s="51"/>
    </row>
    <row r="792" customFormat="false" ht="15.75" hidden="false" customHeight="true" outlineLevel="0" collapsed="false">
      <c r="F792" s="51"/>
    </row>
    <row r="793" customFormat="false" ht="15.75" hidden="false" customHeight="true" outlineLevel="0" collapsed="false">
      <c r="F793" s="51"/>
    </row>
    <row r="794" customFormat="false" ht="15.75" hidden="false" customHeight="true" outlineLevel="0" collapsed="false">
      <c r="F794" s="51"/>
    </row>
    <row r="795" customFormat="false" ht="15.75" hidden="false" customHeight="true" outlineLevel="0" collapsed="false">
      <c r="F795" s="51"/>
    </row>
    <row r="796" customFormat="false" ht="15.75" hidden="false" customHeight="true" outlineLevel="0" collapsed="false">
      <c r="F796" s="51"/>
    </row>
    <row r="797" customFormat="false" ht="15.75" hidden="false" customHeight="true" outlineLevel="0" collapsed="false">
      <c r="F797" s="51"/>
    </row>
    <row r="798" customFormat="false" ht="15.75" hidden="false" customHeight="true" outlineLevel="0" collapsed="false">
      <c r="F798" s="51"/>
    </row>
    <row r="799" customFormat="false" ht="15.75" hidden="false" customHeight="true" outlineLevel="0" collapsed="false">
      <c r="F799" s="51"/>
    </row>
    <row r="800" customFormat="false" ht="15.75" hidden="false" customHeight="true" outlineLevel="0" collapsed="false">
      <c r="F800" s="51"/>
    </row>
    <row r="801" customFormat="false" ht="15.75" hidden="false" customHeight="true" outlineLevel="0" collapsed="false">
      <c r="F801" s="51"/>
    </row>
    <row r="802" customFormat="false" ht="15.75" hidden="false" customHeight="true" outlineLevel="0" collapsed="false">
      <c r="F802" s="51"/>
    </row>
    <row r="803" customFormat="false" ht="15.75" hidden="false" customHeight="true" outlineLevel="0" collapsed="false">
      <c r="F803" s="51"/>
    </row>
    <row r="804" customFormat="false" ht="15.75" hidden="false" customHeight="true" outlineLevel="0" collapsed="false">
      <c r="F804" s="51"/>
    </row>
    <row r="805" customFormat="false" ht="15.75" hidden="false" customHeight="true" outlineLevel="0" collapsed="false">
      <c r="F805" s="51"/>
    </row>
    <row r="806" customFormat="false" ht="15.75" hidden="false" customHeight="true" outlineLevel="0" collapsed="false">
      <c r="F806" s="51"/>
    </row>
    <row r="807" customFormat="false" ht="15.75" hidden="false" customHeight="true" outlineLevel="0" collapsed="false">
      <c r="F807" s="51"/>
    </row>
    <row r="808" customFormat="false" ht="15.75" hidden="false" customHeight="true" outlineLevel="0" collapsed="false">
      <c r="F808" s="51"/>
    </row>
    <row r="809" customFormat="false" ht="15.75" hidden="false" customHeight="true" outlineLevel="0" collapsed="false">
      <c r="F809" s="51"/>
    </row>
    <row r="810" customFormat="false" ht="15.75" hidden="false" customHeight="true" outlineLevel="0" collapsed="false">
      <c r="F810" s="51"/>
    </row>
    <row r="811" customFormat="false" ht="15.75" hidden="false" customHeight="true" outlineLevel="0" collapsed="false">
      <c r="F811" s="51"/>
    </row>
    <row r="812" customFormat="false" ht="15.75" hidden="false" customHeight="true" outlineLevel="0" collapsed="false">
      <c r="F812" s="51"/>
    </row>
    <row r="813" customFormat="false" ht="15.75" hidden="false" customHeight="true" outlineLevel="0" collapsed="false">
      <c r="F813" s="51"/>
    </row>
    <row r="814" customFormat="false" ht="15.75" hidden="false" customHeight="true" outlineLevel="0" collapsed="false">
      <c r="F814" s="51"/>
    </row>
    <row r="815" customFormat="false" ht="15.75" hidden="false" customHeight="true" outlineLevel="0" collapsed="false">
      <c r="F815" s="51"/>
    </row>
    <row r="816" customFormat="false" ht="15.75" hidden="false" customHeight="true" outlineLevel="0" collapsed="false">
      <c r="F816" s="51"/>
    </row>
    <row r="817" customFormat="false" ht="15.75" hidden="false" customHeight="true" outlineLevel="0" collapsed="false">
      <c r="F817" s="51"/>
    </row>
    <row r="818" customFormat="false" ht="15.75" hidden="false" customHeight="true" outlineLevel="0" collapsed="false">
      <c r="F818" s="51"/>
    </row>
    <row r="819" customFormat="false" ht="15.75" hidden="false" customHeight="true" outlineLevel="0" collapsed="false">
      <c r="F819" s="51"/>
    </row>
    <row r="820" customFormat="false" ht="15.75" hidden="false" customHeight="true" outlineLevel="0" collapsed="false">
      <c r="F820" s="51"/>
    </row>
    <row r="821" customFormat="false" ht="15.75" hidden="false" customHeight="true" outlineLevel="0" collapsed="false">
      <c r="F821" s="51"/>
    </row>
    <row r="822" customFormat="false" ht="15.75" hidden="false" customHeight="true" outlineLevel="0" collapsed="false">
      <c r="F822" s="51"/>
    </row>
    <row r="823" customFormat="false" ht="15.75" hidden="false" customHeight="true" outlineLevel="0" collapsed="false">
      <c r="F823" s="51"/>
    </row>
    <row r="824" customFormat="false" ht="15.75" hidden="false" customHeight="true" outlineLevel="0" collapsed="false">
      <c r="F824" s="51"/>
    </row>
    <row r="825" customFormat="false" ht="15.75" hidden="false" customHeight="true" outlineLevel="0" collapsed="false">
      <c r="F825" s="51"/>
    </row>
    <row r="826" customFormat="false" ht="15.75" hidden="false" customHeight="true" outlineLevel="0" collapsed="false">
      <c r="F826" s="51"/>
    </row>
    <row r="827" customFormat="false" ht="15.75" hidden="false" customHeight="true" outlineLevel="0" collapsed="false">
      <c r="F827" s="51"/>
    </row>
    <row r="828" customFormat="false" ht="15.75" hidden="false" customHeight="true" outlineLevel="0" collapsed="false">
      <c r="F828" s="51"/>
    </row>
    <row r="829" customFormat="false" ht="15.75" hidden="false" customHeight="true" outlineLevel="0" collapsed="false">
      <c r="F829" s="51"/>
    </row>
    <row r="830" customFormat="false" ht="15.75" hidden="false" customHeight="true" outlineLevel="0" collapsed="false">
      <c r="F830" s="51"/>
    </row>
    <row r="831" customFormat="false" ht="15.75" hidden="false" customHeight="true" outlineLevel="0" collapsed="false">
      <c r="F831" s="51"/>
    </row>
    <row r="832" customFormat="false" ht="15.75" hidden="false" customHeight="true" outlineLevel="0" collapsed="false">
      <c r="F832" s="51"/>
    </row>
    <row r="833" customFormat="false" ht="15.75" hidden="false" customHeight="true" outlineLevel="0" collapsed="false">
      <c r="F833" s="51"/>
    </row>
    <row r="834" customFormat="false" ht="15.75" hidden="false" customHeight="true" outlineLevel="0" collapsed="false">
      <c r="F834" s="51"/>
    </row>
    <row r="835" customFormat="false" ht="15.75" hidden="false" customHeight="true" outlineLevel="0" collapsed="false">
      <c r="F835" s="51"/>
    </row>
    <row r="836" customFormat="false" ht="15.75" hidden="false" customHeight="true" outlineLevel="0" collapsed="false">
      <c r="F836" s="51"/>
    </row>
    <row r="837" customFormat="false" ht="15.75" hidden="false" customHeight="true" outlineLevel="0" collapsed="false">
      <c r="F837" s="51"/>
    </row>
    <row r="838" customFormat="false" ht="15.75" hidden="false" customHeight="true" outlineLevel="0" collapsed="false">
      <c r="F838" s="51"/>
    </row>
    <row r="839" customFormat="false" ht="15.75" hidden="false" customHeight="true" outlineLevel="0" collapsed="false">
      <c r="F839" s="51"/>
    </row>
    <row r="840" customFormat="false" ht="15.75" hidden="false" customHeight="true" outlineLevel="0" collapsed="false">
      <c r="F840" s="51"/>
    </row>
    <row r="841" customFormat="false" ht="15.75" hidden="false" customHeight="true" outlineLevel="0" collapsed="false">
      <c r="F841" s="51"/>
    </row>
    <row r="842" customFormat="false" ht="15.75" hidden="false" customHeight="true" outlineLevel="0" collapsed="false">
      <c r="F842" s="51"/>
    </row>
    <row r="843" customFormat="false" ht="15.75" hidden="false" customHeight="true" outlineLevel="0" collapsed="false">
      <c r="F843" s="51"/>
    </row>
    <row r="844" customFormat="false" ht="15.75" hidden="false" customHeight="true" outlineLevel="0" collapsed="false">
      <c r="F844" s="51"/>
    </row>
    <row r="845" customFormat="false" ht="15.75" hidden="false" customHeight="true" outlineLevel="0" collapsed="false">
      <c r="F845" s="51"/>
    </row>
    <row r="846" customFormat="false" ht="15.75" hidden="false" customHeight="true" outlineLevel="0" collapsed="false">
      <c r="F846" s="51"/>
    </row>
    <row r="847" customFormat="false" ht="15.75" hidden="false" customHeight="true" outlineLevel="0" collapsed="false">
      <c r="F847" s="51"/>
    </row>
    <row r="848" customFormat="false" ht="15.75" hidden="false" customHeight="true" outlineLevel="0" collapsed="false">
      <c r="F848" s="51"/>
    </row>
    <row r="849" customFormat="false" ht="15.75" hidden="false" customHeight="true" outlineLevel="0" collapsed="false">
      <c r="F849" s="51"/>
    </row>
    <row r="850" customFormat="false" ht="15.75" hidden="false" customHeight="true" outlineLevel="0" collapsed="false">
      <c r="F850" s="51"/>
    </row>
    <row r="851" customFormat="false" ht="15.75" hidden="false" customHeight="true" outlineLevel="0" collapsed="false">
      <c r="F851" s="51"/>
    </row>
    <row r="852" customFormat="false" ht="15.75" hidden="false" customHeight="true" outlineLevel="0" collapsed="false">
      <c r="F852" s="51"/>
    </row>
    <row r="853" customFormat="false" ht="15.75" hidden="false" customHeight="true" outlineLevel="0" collapsed="false">
      <c r="F853" s="51"/>
    </row>
    <row r="854" customFormat="false" ht="15.75" hidden="false" customHeight="true" outlineLevel="0" collapsed="false">
      <c r="F854" s="51"/>
    </row>
    <row r="855" customFormat="false" ht="15.75" hidden="false" customHeight="true" outlineLevel="0" collapsed="false">
      <c r="F855" s="51"/>
    </row>
    <row r="856" customFormat="false" ht="15.75" hidden="false" customHeight="true" outlineLevel="0" collapsed="false">
      <c r="F856" s="51"/>
    </row>
    <row r="857" customFormat="false" ht="15.75" hidden="false" customHeight="true" outlineLevel="0" collapsed="false">
      <c r="F857" s="51"/>
    </row>
    <row r="858" customFormat="false" ht="15.75" hidden="false" customHeight="true" outlineLevel="0" collapsed="false">
      <c r="F858" s="51"/>
    </row>
    <row r="859" customFormat="false" ht="15.75" hidden="false" customHeight="true" outlineLevel="0" collapsed="false">
      <c r="F859" s="51"/>
    </row>
    <row r="860" customFormat="false" ht="15.75" hidden="false" customHeight="true" outlineLevel="0" collapsed="false">
      <c r="F860" s="51"/>
    </row>
    <row r="861" customFormat="false" ht="15.75" hidden="false" customHeight="true" outlineLevel="0" collapsed="false">
      <c r="F861" s="51"/>
    </row>
    <row r="862" customFormat="false" ht="15.75" hidden="false" customHeight="true" outlineLevel="0" collapsed="false">
      <c r="F862" s="51"/>
    </row>
    <row r="863" customFormat="false" ht="15.75" hidden="false" customHeight="true" outlineLevel="0" collapsed="false">
      <c r="F863" s="51"/>
    </row>
    <row r="864" customFormat="false" ht="15.75" hidden="false" customHeight="true" outlineLevel="0" collapsed="false">
      <c r="F864" s="51"/>
    </row>
    <row r="865" customFormat="false" ht="15.75" hidden="false" customHeight="true" outlineLevel="0" collapsed="false">
      <c r="F865" s="51"/>
    </row>
    <row r="866" customFormat="false" ht="15.75" hidden="false" customHeight="true" outlineLevel="0" collapsed="false">
      <c r="F866" s="51"/>
    </row>
    <row r="867" customFormat="false" ht="15.75" hidden="false" customHeight="true" outlineLevel="0" collapsed="false">
      <c r="F867" s="51"/>
    </row>
    <row r="868" customFormat="false" ht="15.75" hidden="false" customHeight="true" outlineLevel="0" collapsed="false">
      <c r="F868" s="51"/>
    </row>
    <row r="869" customFormat="false" ht="15.75" hidden="false" customHeight="true" outlineLevel="0" collapsed="false">
      <c r="F869" s="51"/>
    </row>
    <row r="870" customFormat="false" ht="15.75" hidden="false" customHeight="true" outlineLevel="0" collapsed="false">
      <c r="F870" s="51"/>
    </row>
    <row r="871" customFormat="false" ht="15.75" hidden="false" customHeight="true" outlineLevel="0" collapsed="false">
      <c r="F871" s="51"/>
    </row>
    <row r="872" customFormat="false" ht="15.75" hidden="false" customHeight="true" outlineLevel="0" collapsed="false">
      <c r="F872" s="51"/>
    </row>
    <row r="873" customFormat="false" ht="15.75" hidden="false" customHeight="true" outlineLevel="0" collapsed="false">
      <c r="F873" s="51"/>
    </row>
    <row r="874" customFormat="false" ht="15.75" hidden="false" customHeight="true" outlineLevel="0" collapsed="false">
      <c r="F874" s="51"/>
    </row>
    <row r="875" customFormat="false" ht="15.75" hidden="false" customHeight="true" outlineLevel="0" collapsed="false">
      <c r="F875" s="51"/>
    </row>
    <row r="876" customFormat="false" ht="15.75" hidden="false" customHeight="true" outlineLevel="0" collapsed="false">
      <c r="F876" s="51"/>
    </row>
    <row r="877" customFormat="false" ht="15.75" hidden="false" customHeight="true" outlineLevel="0" collapsed="false">
      <c r="F877" s="51"/>
    </row>
    <row r="878" customFormat="false" ht="15.75" hidden="false" customHeight="true" outlineLevel="0" collapsed="false">
      <c r="F878" s="51"/>
    </row>
    <row r="879" customFormat="false" ht="15.75" hidden="false" customHeight="true" outlineLevel="0" collapsed="false">
      <c r="F879" s="51"/>
    </row>
    <row r="880" customFormat="false" ht="15.75" hidden="false" customHeight="true" outlineLevel="0" collapsed="false">
      <c r="F880" s="51"/>
    </row>
    <row r="881" customFormat="false" ht="15.75" hidden="false" customHeight="true" outlineLevel="0" collapsed="false">
      <c r="F881" s="51"/>
    </row>
    <row r="882" customFormat="false" ht="15.75" hidden="false" customHeight="true" outlineLevel="0" collapsed="false">
      <c r="F882" s="51"/>
    </row>
    <row r="883" customFormat="false" ht="15.75" hidden="false" customHeight="true" outlineLevel="0" collapsed="false">
      <c r="F883" s="51"/>
    </row>
    <row r="884" customFormat="false" ht="15.75" hidden="false" customHeight="true" outlineLevel="0" collapsed="false">
      <c r="F884" s="51"/>
    </row>
    <row r="885" customFormat="false" ht="15.75" hidden="false" customHeight="true" outlineLevel="0" collapsed="false">
      <c r="F885" s="51"/>
    </row>
    <row r="886" customFormat="false" ht="15.75" hidden="false" customHeight="true" outlineLevel="0" collapsed="false">
      <c r="F886" s="51"/>
    </row>
    <row r="887" customFormat="false" ht="15.75" hidden="false" customHeight="true" outlineLevel="0" collapsed="false">
      <c r="F887" s="51"/>
    </row>
    <row r="888" customFormat="false" ht="15.75" hidden="false" customHeight="true" outlineLevel="0" collapsed="false">
      <c r="F888" s="51"/>
    </row>
    <row r="889" customFormat="false" ht="15.75" hidden="false" customHeight="true" outlineLevel="0" collapsed="false">
      <c r="F889" s="51"/>
    </row>
    <row r="890" customFormat="false" ht="15.75" hidden="false" customHeight="true" outlineLevel="0" collapsed="false">
      <c r="F890" s="51"/>
    </row>
    <row r="891" customFormat="false" ht="15.75" hidden="false" customHeight="true" outlineLevel="0" collapsed="false">
      <c r="F891" s="51"/>
    </row>
    <row r="892" customFormat="false" ht="15.75" hidden="false" customHeight="true" outlineLevel="0" collapsed="false">
      <c r="F892" s="51"/>
    </row>
    <row r="893" customFormat="false" ht="15.75" hidden="false" customHeight="true" outlineLevel="0" collapsed="false">
      <c r="F893" s="51"/>
    </row>
    <row r="894" customFormat="false" ht="15.75" hidden="false" customHeight="true" outlineLevel="0" collapsed="false">
      <c r="F894" s="51"/>
    </row>
    <row r="895" customFormat="false" ht="15.75" hidden="false" customHeight="true" outlineLevel="0" collapsed="false">
      <c r="F895" s="51"/>
    </row>
    <row r="896" customFormat="false" ht="15.75" hidden="false" customHeight="true" outlineLevel="0" collapsed="false">
      <c r="F896" s="51"/>
    </row>
    <row r="897" customFormat="false" ht="15.75" hidden="false" customHeight="true" outlineLevel="0" collapsed="false">
      <c r="F897" s="51"/>
    </row>
    <row r="898" customFormat="false" ht="15.75" hidden="false" customHeight="true" outlineLevel="0" collapsed="false">
      <c r="F898" s="51"/>
    </row>
    <row r="899" customFormat="false" ht="15.75" hidden="false" customHeight="true" outlineLevel="0" collapsed="false">
      <c r="F899" s="51"/>
    </row>
    <row r="900" customFormat="false" ht="15.75" hidden="false" customHeight="true" outlineLevel="0" collapsed="false">
      <c r="F900" s="51"/>
    </row>
    <row r="901" customFormat="false" ht="15.75" hidden="false" customHeight="true" outlineLevel="0" collapsed="false">
      <c r="F901" s="51"/>
    </row>
    <row r="902" customFormat="false" ht="15.75" hidden="false" customHeight="true" outlineLevel="0" collapsed="false">
      <c r="F902" s="51"/>
    </row>
    <row r="903" customFormat="false" ht="15.75" hidden="false" customHeight="true" outlineLevel="0" collapsed="false">
      <c r="F903" s="51"/>
    </row>
    <row r="904" customFormat="false" ht="15.75" hidden="false" customHeight="true" outlineLevel="0" collapsed="false">
      <c r="F904" s="51"/>
    </row>
    <row r="905" customFormat="false" ht="15.75" hidden="false" customHeight="true" outlineLevel="0" collapsed="false">
      <c r="F905" s="51"/>
    </row>
    <row r="906" customFormat="false" ht="15.75" hidden="false" customHeight="true" outlineLevel="0" collapsed="false">
      <c r="F906" s="51"/>
    </row>
    <row r="907" customFormat="false" ht="15.75" hidden="false" customHeight="true" outlineLevel="0" collapsed="false">
      <c r="F907" s="51"/>
    </row>
    <row r="908" customFormat="false" ht="15.75" hidden="false" customHeight="true" outlineLevel="0" collapsed="false">
      <c r="F908" s="51"/>
    </row>
    <row r="909" customFormat="false" ht="15.75" hidden="false" customHeight="true" outlineLevel="0" collapsed="false">
      <c r="F909" s="51"/>
    </row>
    <row r="910" customFormat="false" ht="15.75" hidden="false" customHeight="true" outlineLevel="0" collapsed="false">
      <c r="F910" s="51"/>
    </row>
    <row r="911" customFormat="false" ht="15.75" hidden="false" customHeight="true" outlineLevel="0" collapsed="false">
      <c r="F911" s="51"/>
    </row>
    <row r="912" customFormat="false" ht="15.75" hidden="false" customHeight="true" outlineLevel="0" collapsed="false">
      <c r="F912" s="51"/>
    </row>
    <row r="913" customFormat="false" ht="15.75" hidden="false" customHeight="true" outlineLevel="0" collapsed="false">
      <c r="F913" s="51"/>
    </row>
    <row r="914" customFormat="false" ht="15.75" hidden="false" customHeight="true" outlineLevel="0" collapsed="false">
      <c r="F914" s="51"/>
    </row>
    <row r="915" customFormat="false" ht="15.75" hidden="false" customHeight="true" outlineLevel="0" collapsed="false">
      <c r="F915" s="51"/>
    </row>
    <row r="916" customFormat="false" ht="15.75" hidden="false" customHeight="true" outlineLevel="0" collapsed="false">
      <c r="F916" s="51"/>
    </row>
    <row r="917" customFormat="false" ht="15.75" hidden="false" customHeight="true" outlineLevel="0" collapsed="false">
      <c r="F917" s="51"/>
    </row>
    <row r="918" customFormat="false" ht="15.75" hidden="false" customHeight="true" outlineLevel="0" collapsed="false">
      <c r="F918" s="51"/>
    </row>
    <row r="919" customFormat="false" ht="15.75" hidden="false" customHeight="true" outlineLevel="0" collapsed="false">
      <c r="F919" s="51"/>
    </row>
    <row r="920" customFormat="false" ht="15.75" hidden="false" customHeight="true" outlineLevel="0" collapsed="false">
      <c r="F920" s="51"/>
    </row>
    <row r="921" customFormat="false" ht="15.75" hidden="false" customHeight="true" outlineLevel="0" collapsed="false">
      <c r="F921" s="51"/>
    </row>
    <row r="922" customFormat="false" ht="15.75" hidden="false" customHeight="true" outlineLevel="0" collapsed="false">
      <c r="F922" s="51"/>
    </row>
    <row r="923" customFormat="false" ht="15.75" hidden="false" customHeight="true" outlineLevel="0" collapsed="false">
      <c r="F923" s="51"/>
    </row>
    <row r="924" customFormat="false" ht="15.75" hidden="false" customHeight="true" outlineLevel="0" collapsed="false">
      <c r="F924" s="51"/>
    </row>
    <row r="925" customFormat="false" ht="15.75" hidden="false" customHeight="true" outlineLevel="0" collapsed="false">
      <c r="F925" s="51"/>
    </row>
    <row r="926" customFormat="false" ht="15.75" hidden="false" customHeight="true" outlineLevel="0" collapsed="false">
      <c r="F926" s="51"/>
    </row>
    <row r="927" customFormat="false" ht="15.75" hidden="false" customHeight="true" outlineLevel="0" collapsed="false">
      <c r="F927" s="51"/>
    </row>
    <row r="928" customFormat="false" ht="15.75" hidden="false" customHeight="true" outlineLevel="0" collapsed="false">
      <c r="F928" s="51"/>
    </row>
    <row r="929" customFormat="false" ht="15.75" hidden="false" customHeight="true" outlineLevel="0" collapsed="false">
      <c r="F929" s="51"/>
    </row>
    <row r="930" customFormat="false" ht="15.75" hidden="false" customHeight="true" outlineLevel="0" collapsed="false">
      <c r="F930" s="51"/>
    </row>
    <row r="931" customFormat="false" ht="15.75" hidden="false" customHeight="true" outlineLevel="0" collapsed="false">
      <c r="F931" s="51"/>
    </row>
    <row r="932" customFormat="false" ht="15.75" hidden="false" customHeight="true" outlineLevel="0" collapsed="false">
      <c r="F932" s="51"/>
    </row>
    <row r="933" customFormat="false" ht="15.75" hidden="false" customHeight="true" outlineLevel="0" collapsed="false">
      <c r="F933" s="51"/>
    </row>
    <row r="934" customFormat="false" ht="15.75" hidden="false" customHeight="true" outlineLevel="0" collapsed="false">
      <c r="F934" s="51"/>
    </row>
    <row r="935" customFormat="false" ht="15.75" hidden="false" customHeight="true" outlineLevel="0" collapsed="false">
      <c r="F935" s="51"/>
    </row>
    <row r="936" customFormat="false" ht="15.75" hidden="false" customHeight="true" outlineLevel="0" collapsed="false">
      <c r="F936" s="51"/>
    </row>
    <row r="937" customFormat="false" ht="15.75" hidden="false" customHeight="true" outlineLevel="0" collapsed="false">
      <c r="F937" s="51"/>
    </row>
    <row r="938" customFormat="false" ht="15.75" hidden="false" customHeight="true" outlineLevel="0" collapsed="false">
      <c r="F938" s="51"/>
    </row>
    <row r="939" customFormat="false" ht="15.75" hidden="false" customHeight="true" outlineLevel="0" collapsed="false">
      <c r="F939" s="51"/>
    </row>
    <row r="940" customFormat="false" ht="15.75" hidden="false" customHeight="true" outlineLevel="0" collapsed="false">
      <c r="F940" s="51"/>
    </row>
    <row r="941" customFormat="false" ht="15.75" hidden="false" customHeight="true" outlineLevel="0" collapsed="false">
      <c r="F941" s="51"/>
    </row>
    <row r="942" customFormat="false" ht="15.75" hidden="false" customHeight="true" outlineLevel="0" collapsed="false">
      <c r="F942" s="51"/>
    </row>
    <row r="943" customFormat="false" ht="15.75" hidden="false" customHeight="true" outlineLevel="0" collapsed="false">
      <c r="F943" s="51"/>
    </row>
    <row r="944" customFormat="false" ht="15.75" hidden="false" customHeight="true" outlineLevel="0" collapsed="false">
      <c r="F944" s="51"/>
    </row>
    <row r="945" customFormat="false" ht="15.75" hidden="false" customHeight="true" outlineLevel="0" collapsed="false">
      <c r="F945" s="51"/>
    </row>
    <row r="946" customFormat="false" ht="15.75" hidden="false" customHeight="true" outlineLevel="0" collapsed="false">
      <c r="F946" s="51"/>
    </row>
    <row r="947" customFormat="false" ht="15.75" hidden="false" customHeight="true" outlineLevel="0" collapsed="false">
      <c r="F947" s="51"/>
    </row>
    <row r="948" customFormat="false" ht="15.75" hidden="false" customHeight="true" outlineLevel="0" collapsed="false">
      <c r="F948" s="51"/>
    </row>
    <row r="949" customFormat="false" ht="15.75" hidden="false" customHeight="true" outlineLevel="0" collapsed="false">
      <c r="F949" s="51"/>
    </row>
    <row r="950" customFormat="false" ht="15.75" hidden="false" customHeight="true" outlineLevel="0" collapsed="false">
      <c r="F950" s="51"/>
    </row>
    <row r="951" customFormat="false" ht="15.75" hidden="false" customHeight="true" outlineLevel="0" collapsed="false">
      <c r="F951" s="51"/>
    </row>
    <row r="952" customFormat="false" ht="15.75" hidden="false" customHeight="true" outlineLevel="0" collapsed="false">
      <c r="F952" s="51"/>
    </row>
    <row r="953" customFormat="false" ht="15.75" hidden="false" customHeight="true" outlineLevel="0" collapsed="false">
      <c r="F953" s="51"/>
    </row>
    <row r="954" customFormat="false" ht="15.75" hidden="false" customHeight="true" outlineLevel="0" collapsed="false">
      <c r="F954" s="51"/>
    </row>
    <row r="955" customFormat="false" ht="15.75" hidden="false" customHeight="true" outlineLevel="0" collapsed="false">
      <c r="F955" s="51"/>
    </row>
    <row r="956" customFormat="false" ht="15.75" hidden="false" customHeight="true" outlineLevel="0" collapsed="false">
      <c r="F956" s="51"/>
    </row>
    <row r="957" customFormat="false" ht="15.75" hidden="false" customHeight="true" outlineLevel="0" collapsed="false">
      <c r="F957" s="51"/>
    </row>
    <row r="958" customFormat="false" ht="15.75" hidden="false" customHeight="true" outlineLevel="0" collapsed="false">
      <c r="F958" s="51"/>
    </row>
    <row r="959" customFormat="false" ht="15.75" hidden="false" customHeight="true" outlineLevel="0" collapsed="false">
      <c r="F959" s="51"/>
    </row>
    <row r="960" customFormat="false" ht="15.75" hidden="false" customHeight="true" outlineLevel="0" collapsed="false">
      <c r="F960" s="51"/>
    </row>
    <row r="961" customFormat="false" ht="15.75" hidden="false" customHeight="true" outlineLevel="0" collapsed="false">
      <c r="F961" s="51"/>
    </row>
    <row r="962" customFormat="false" ht="15.75" hidden="false" customHeight="true" outlineLevel="0" collapsed="false">
      <c r="F962" s="51"/>
    </row>
    <row r="963" customFormat="false" ht="15.75" hidden="false" customHeight="true" outlineLevel="0" collapsed="false">
      <c r="F963" s="51"/>
    </row>
    <row r="964" customFormat="false" ht="15.75" hidden="false" customHeight="true" outlineLevel="0" collapsed="false">
      <c r="F964" s="51"/>
    </row>
    <row r="965" customFormat="false" ht="15.75" hidden="false" customHeight="true" outlineLevel="0" collapsed="false">
      <c r="F965" s="51"/>
    </row>
    <row r="966" customFormat="false" ht="15.75" hidden="false" customHeight="true" outlineLevel="0" collapsed="false">
      <c r="F966" s="51"/>
    </row>
    <row r="967" customFormat="false" ht="15.75" hidden="false" customHeight="true" outlineLevel="0" collapsed="false">
      <c r="F967" s="51"/>
    </row>
    <row r="968" customFormat="false" ht="15.75" hidden="false" customHeight="true" outlineLevel="0" collapsed="false">
      <c r="F968" s="51"/>
    </row>
    <row r="969" customFormat="false" ht="15.75" hidden="false" customHeight="true" outlineLevel="0" collapsed="false">
      <c r="F969" s="51"/>
    </row>
    <row r="970" customFormat="false" ht="15.75" hidden="false" customHeight="true" outlineLevel="0" collapsed="false">
      <c r="F970" s="51"/>
    </row>
    <row r="971" customFormat="false" ht="15.75" hidden="false" customHeight="true" outlineLevel="0" collapsed="false">
      <c r="F971" s="51"/>
    </row>
    <row r="972" customFormat="false" ht="15.75" hidden="false" customHeight="true" outlineLevel="0" collapsed="false">
      <c r="F972" s="51"/>
    </row>
    <row r="973" customFormat="false" ht="15.75" hidden="false" customHeight="true" outlineLevel="0" collapsed="false">
      <c r="F973" s="51"/>
    </row>
    <row r="974" customFormat="false" ht="15.75" hidden="false" customHeight="true" outlineLevel="0" collapsed="false">
      <c r="F974" s="51"/>
    </row>
    <row r="975" customFormat="false" ht="15.75" hidden="false" customHeight="true" outlineLevel="0" collapsed="false">
      <c r="F975" s="51"/>
    </row>
    <row r="976" customFormat="false" ht="15.75" hidden="false" customHeight="true" outlineLevel="0" collapsed="false">
      <c r="F976" s="51"/>
    </row>
    <row r="977" customFormat="false" ht="15.75" hidden="false" customHeight="true" outlineLevel="0" collapsed="false">
      <c r="F977" s="51"/>
    </row>
    <row r="978" customFormat="false" ht="15.75" hidden="false" customHeight="true" outlineLevel="0" collapsed="false">
      <c r="F978" s="51"/>
    </row>
    <row r="979" customFormat="false" ht="15.75" hidden="false" customHeight="true" outlineLevel="0" collapsed="false">
      <c r="F979" s="51"/>
    </row>
    <row r="980" customFormat="false" ht="15.75" hidden="false" customHeight="true" outlineLevel="0" collapsed="false">
      <c r="F980" s="51"/>
    </row>
    <row r="981" customFormat="false" ht="15.75" hidden="false" customHeight="true" outlineLevel="0" collapsed="false">
      <c r="F981" s="51"/>
    </row>
    <row r="982" customFormat="false" ht="15.75" hidden="false" customHeight="true" outlineLevel="0" collapsed="false">
      <c r="F982" s="51"/>
    </row>
    <row r="983" customFormat="false" ht="15.75" hidden="false" customHeight="true" outlineLevel="0" collapsed="false">
      <c r="F983" s="51"/>
    </row>
    <row r="984" customFormat="false" ht="15.75" hidden="false" customHeight="true" outlineLevel="0" collapsed="false">
      <c r="F984" s="51"/>
    </row>
    <row r="985" customFormat="false" ht="15.75" hidden="false" customHeight="true" outlineLevel="0" collapsed="false">
      <c r="F985" s="51"/>
    </row>
    <row r="986" customFormat="false" ht="15.75" hidden="false" customHeight="true" outlineLevel="0" collapsed="false">
      <c r="F986" s="51"/>
    </row>
    <row r="987" customFormat="false" ht="15.75" hidden="false" customHeight="true" outlineLevel="0" collapsed="false">
      <c r="F987" s="51"/>
    </row>
    <row r="988" customFormat="false" ht="15.75" hidden="false" customHeight="true" outlineLevel="0" collapsed="false">
      <c r="F988" s="51"/>
    </row>
    <row r="989" customFormat="false" ht="15.75" hidden="false" customHeight="true" outlineLevel="0" collapsed="false">
      <c r="F989" s="51"/>
    </row>
    <row r="990" customFormat="false" ht="15.75" hidden="false" customHeight="true" outlineLevel="0" collapsed="false">
      <c r="F990" s="51"/>
    </row>
    <row r="991" customFormat="false" ht="15.75" hidden="false" customHeight="true" outlineLevel="0" collapsed="false">
      <c r="F991" s="51"/>
    </row>
    <row r="992" customFormat="false" ht="15.75" hidden="false" customHeight="true" outlineLevel="0" collapsed="false">
      <c r="F992" s="51"/>
    </row>
    <row r="993" customFormat="false" ht="15.75" hidden="false" customHeight="true" outlineLevel="0" collapsed="false">
      <c r="F993" s="51"/>
    </row>
    <row r="994" customFormat="false" ht="15.75" hidden="false" customHeight="true" outlineLevel="0" collapsed="false">
      <c r="F994" s="51"/>
    </row>
    <row r="995" customFormat="false" ht="15.75" hidden="false" customHeight="true" outlineLevel="0" collapsed="false">
      <c r="F995" s="51"/>
    </row>
    <row r="996" customFormat="false" ht="15.75" hidden="false" customHeight="true" outlineLevel="0" collapsed="false">
      <c r="F996" s="51"/>
    </row>
    <row r="997" customFormat="false" ht="15.75" hidden="false" customHeight="true" outlineLevel="0" collapsed="false">
      <c r="F997" s="51"/>
    </row>
    <row r="998" customFormat="false" ht="15.75" hidden="false" customHeight="true" outlineLevel="0" collapsed="false">
      <c r="F998" s="51"/>
    </row>
    <row r="999" customFormat="false" ht="15.75" hidden="false" customHeight="true" outlineLevel="0" collapsed="false">
      <c r="F999" s="51"/>
    </row>
    <row r="1000" customFormat="false" ht="15.75" hidden="false" customHeight="true" outlineLevel="0" collapsed="false">
      <c r="F1000" s="5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2026-01-06T12:02:34Z</dcterms:created>
  <dc:creator>winfocus</dc:creator>
  <dc:description/>
  <dc:language>en-US</dc:language>
  <cp:lastModifiedBy/>
  <dcterms:modified xsi:type="dcterms:W3CDTF">2026-06-16T05:43:17Z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